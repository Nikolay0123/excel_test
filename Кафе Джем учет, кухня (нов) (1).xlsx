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threadedComments/threadedComment4.xml" ContentType="application/vnd.ms-excel.threadedcomments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threadedComments/threadedComment6.xml" ContentType="application/vnd.ms-excel.threadedcomments+xml"/>
  <Override PartName="/xl/comments6.xml" ContentType="application/vnd.openxmlformats-officedocument.spreadsheetml.comments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2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7" rupBuild="29530"/>
  <s:workbookPr defaultThemeVersion="166925"/>
  <s:bookViews>
    <s:workbookView xr2:uid="{C456119E-27D1-44F4-B39F-1A30CCA4181F}" xWindow="-108" yWindow="-108" windowWidth="23256" windowHeight="13896"/>
  </s:bookViews>
  <s:sheets>
    <s:sheet name="Ноябрь 26" sheetId="2" state="visible" r:id="rId1"/>
    <s:sheet name="Декабрь 26 (2)" sheetId="4" state="visible" r:id="rId2"/>
    <s:sheet name="Январь 26" sheetId="1" state="visible" r:id="rId3"/>
    <s:sheet name="Февраль 26" sheetId="3" state="visible" r:id="rId4"/>
    <s:sheet name="Март 26" sheetId="5" state="visible" r:id="rId5"/>
    <s:sheet name="Апрель 26" sheetId="6" state="visible" r:id="rId6"/>
  </s:sheets>
  <s:definedNames>
    <s:definedName name="_xlnm._FilterDatabase" localSheetId="0" hidden="1">'Ноябрь 26'!$C$1:$C$57</s:definedName>
    <s:definedName name="_xlnm._FilterDatabase" localSheetId="1">'Декабрь 26 (2)'!$C$1:$C$57</s:definedName>
  </s:definedNames>
  <s:calcPr calcId="191029"/>
  <s:extLst>
    <s:ext uri="{140A7094-0E35-4892-8432-C4D2E57EDEB5}">
      <unk1:workbookPr chartTrackingRefBase="1"/>
    </s:ex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comments1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tc={C541A5C0-28D4-3C92-64D3-81D4C8857B53}</s:author>
    <s:author>Mi</s:author>
    <s:author>tc={89501AA4-2449-4F5A-9051-9A95F04480A9}</s:author>
    <s:author>tc={08CCBB2B-AD19-45AA-AE05-7CFE68986C38}</s:author>
  </s:authors>
  <s:commentList>
    <s:comment ref="AY1" authorId="2" shapeId="0" xr:uid="{89501AA4-2449-4F5A-9051-9A95F04480A9}">
      <s:text>
        <s:t>[Threaded comment]
Your application allows you to read this threaded comment; however, any edits to it will get removed if the file is opened in a latest version of Excel.
Comment:
		tc={308F22EC-08A2-D51A-0513-CF2DF04D53E6}:
tc={F24A4845-86A9-1F3B-3E0B-D330B81B5CE7}:
Максим Гарбузов:
Название месяца изменяем датой в формате 01.ХХ.2025
</s:t>
      </s:text>
    </s:comment>
    <s:comment ref="C2" authorId="3" shapeId="0" xr:uid="{08CCBB2B-AD19-45AA-AE05-7CFE68986C38}">
      <s:text>
        <s:t>[Threaded comment]
Your application allows you to read this threaded comment; however, any edits to it will get removed if the file is opened in a latest version of Excel.
Comment:
		Да - 22%
Нет - 0 (в цене номера)
Налич - оплата наличными
</s:t>
      </s:text>
    </s:comment>
  </s:commentList>
</s:comments>
</file>

<file path=xl/comments2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tc={C541A5C0-28D4-3C92-64D3-81D4C8857B53}</s:author>
    <s:author>Mi</s:author>
    <s:author>tc={77BAF57F-27FC-48F3-80EB-A6A07DDA0DCA}</s:author>
    <s:author>tc={AD617957-AE28-4FFD-A3E0-5C1BC7B5031B}</s:author>
  </s:authors>
  <s:commentList>
    <s:comment ref="AY1" authorId="2" shapeId="0" xr:uid="{77BAF57F-27FC-48F3-80EB-A6A07DDA0DCA}">
      <s:text>
        <s:t>[Threaded comment]
Your application allows you to read this threaded comment; however, any edits to it will get removed if the file is opened in a latest version of Excel.
Comment:
		tc={308F22EC-08A2-D51A-0513-CF2DF04D53E6}:
tc={F24A4845-86A9-1F3B-3E0B-D330B81B5CE7}:
Максим Гарбузов:
Название месяца изменяем датой в формате 01.ХХ.2025
</s:t>
      </s:text>
    </s:comment>
    <s:comment ref="C2" authorId="3" shapeId="0" xr:uid="{AD617957-AE28-4FFD-A3E0-5C1BC7B5031B}">
      <s:text>
        <s:t>[Threaded comment]
Your application allows you to read this threaded comment; however, any edits to it will get removed if the file is opened in a latest version of Excel.
Comment:
		Да - 22%
Нет - 0 (в цене номера)
Налич - оплата наличными
</s:t>
      </s:text>
    </s:comment>
  </s:commentList>
</s:comments>
</file>

<file path=xl/comments3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tc={C541A5C0-28D4-3C92-64D3-81D4C8857B53}</s:author>
    <s:author>Mi</s:author>
    <s:author>tc={6B10659F-3306-4804-98B9-BE596DEC011A}</s:author>
    <s:author>tc={49E1D66C-A100-44BE-BD0C-2106F63022A2}</s:author>
  </s:authors>
  <s:commentList>
    <s:comment ref="AY1" authorId="2" shapeId="0" xr:uid="{6B10659F-3306-4804-98B9-BE596DEC011A}">
      <s:text>
        <s:t>[Threaded comment]
Your application allows you to read this threaded comment; however, any edits to it will get removed if the file is opened in a latest version of Excel.
Comment:
		tc={308F22EC-08A2-D51A-0513-CF2DF04D53E6}:
tc={F24A4845-86A9-1F3B-3E0B-D330B81B5CE7}:
Максим Гарбузов:
Название месяца изменяем датой в формате 01.ХХ.2025
</s:t>
      </s:text>
    </s:comment>
    <s:comment ref="C2" authorId="3" shapeId="0" xr:uid="{49E1D66C-A100-44BE-BD0C-2106F63022A2}">
      <s:text>
        <s:t>[Threaded comment]
Your application allows you to read this threaded comment; however, any edits to it will get removed if the file is opened in a latest version of Excel.
Comment:
		Да - 22%
Нет - 0 (в цене номера)
Налич - оплата наличными
</s:t>
      </s:text>
    </s:comment>
  </s:commentList>
</s:comments>
</file>

<file path=xl/comments4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tc={C541A5C0-28D4-3C92-64D3-81D4C8857B53}</s:author>
    <s:author>Mi</s:author>
    <s:author>tc={0469DDC4-2076-4656-9C7A-89E872439362}</s:author>
    <s:author>tc={A761F1A5-5A78-4468-8FC7-DC914054DA86}</s:author>
  </s:authors>
  <s:commentList>
    <s:comment ref="AY1" authorId="2" shapeId="0" xr:uid="{0469DDC4-2076-4656-9C7A-89E872439362}">
      <s:text>
        <s:t>[Threaded comment]
Your application allows you to read this threaded comment; however, any edits to it will get removed if the file is opened in a latest version of Excel.
Comment:
		tc={308F22EC-08A2-D51A-0513-CF2DF04D53E6}:
tc={F24A4845-86A9-1F3B-3E0B-D330B81B5CE7}:
Максим Гарбузов:
Название месяца изменяем датой в формате 01.ХХ.2025
</s:t>
      </s:text>
    </s:comment>
    <s:comment ref="C2" authorId="3" shapeId="0" xr:uid="{A761F1A5-5A78-4468-8FC7-DC914054DA86}">
      <s:text>
        <s:t>[Threaded comment]
Your application allows you to read this threaded comment; however, any edits to it will get removed if the file is opened in a latest version of Excel.
Comment:
		Да - 22%
Нет - 0 (в цене номера)
Налич - оплата наличными
</s:t>
      </s:text>
    </s:comment>
  </s:commentList>
</s:comments>
</file>

<file path=xl/comments5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tc={C541A5C0-28D4-3C92-64D3-81D4C8857B53}</s:author>
    <s:author>Mi</s:author>
    <s:author>tc={16F903B2-5DF3-4797-9565-39D74C1ECD44}</s:author>
    <s:author>tc={D52C58EF-47C7-46C8-AC27-1277D85FFFAD}</s:author>
  </s:authors>
  <s:commentList>
    <s:comment ref="AY1" authorId="2" shapeId="0" xr:uid="{16F903B2-5DF3-4797-9565-39D74C1ECD44}">
      <s:text>
        <s:t>[Threaded comment]
Your application allows you to read this threaded comment; however, any edits to it will get removed if the file is opened in a latest version of Excel.
Comment:
		tc={308F22EC-08A2-D51A-0513-CF2DF04D53E6}:
tc={F24A4845-86A9-1F3B-3E0B-D330B81B5CE7}:
Максим Гарбузов:
Название месяца изменяем датой в формате 01.ХХ.2025
</s:t>
      </s:text>
    </s:comment>
    <s:comment ref="C2" authorId="3" shapeId="0" xr:uid="{D52C58EF-47C7-46C8-AC27-1277D85FFFAD}">
      <s:text>
        <s:t>[Threaded comment]
Your application allows you to read this threaded comment; however, any edits to it will get removed if the file is opened in a latest version of Excel.
Comment:
		Да - 22%
Нет - 0 (в цене номера)
Налич - оплата наличными
</s:t>
      </s:text>
    </s:comment>
  </s:commentList>
</s:comments>
</file>

<file path=xl/comments6.xml><?xml version="1.0" encoding="utf-8"?>
<s:comments xmlns:s="http://schemas.openxmlformats.org/spreadsheetml/2006/main" xmlns:xr="http://schemas.microsoft.com/office/spreadsheetml/2014/revision" xmlns:mc="http://schemas.openxmlformats.org/markup-compatibility/2006" mc:Ignorable="xr">
  <s:authors>
    <s:author>tc={C541A5C0-28D4-3C92-64D3-81D4C8857B53}</s:author>
    <s:author>Mi</s:author>
    <s:author>tc={AACD86BF-1E16-440B-B32D-CE40ACB20D8D}</s:author>
    <s:author>tc={CC33D45C-495F-48C7-A149-F0E6A84B1CA5}</s:author>
  </s:authors>
  <s:commentList>
    <s:comment ref="AY1" authorId="2" shapeId="0" xr:uid="{AACD86BF-1E16-440B-B32D-CE40ACB20D8D}">
      <s:text>
        <s:t>[Threaded comment]
Your application allows you to read this threaded comment; however, any edits to it will get removed if the file is opened in a latest version of Excel.
Comment:
		tc={308F22EC-08A2-D51A-0513-CF2DF04D53E6}:
tc={F24A4845-86A9-1F3B-3E0B-D330B81B5CE7}:
Максим Гарбузов:
Название месяца изменяем датой в формате 01.ХХ.2025
</s:t>
      </s:text>
    </s:comment>
    <s:comment ref="C2" authorId="3" shapeId="0" xr:uid="{CC33D45C-495F-48C7-A149-F0E6A84B1CA5}">
      <s:text>
        <s:t>[Threaded comment]
Your application allows you to read this threaded comment; however, any edits to it will get removed if the file is opened in a latest version of Excel.
Comment:
		Да - 22%
Нет - 0 (в цене номера)
Налич - оплата наличными
</s:t>
      </s:text>
    </s:comment>
  </s:commentList>
</s:comments>
</file>

<file path=xl/sharedStrings.xml><?xml version="1.0" encoding="utf-8"?>
<s:sst xmlns:s="http://schemas.openxmlformats.org/spreadsheetml/2006/main" count="576" uniqueCount="90">
  <s:si>
    <s:t xml:space="preserve"> </s:t>
  </s:si>
  <s:si>
    <s:t xml:space="preserve">                                                                                                                                                                                                          </s:t>
  </s:si>
  <s:si>
    <s:t>№ п/п</s:t>
  </s:si>
  <s:si>
    <s:t>Сумма по счету, руб.</s:t>
  </s:si>
  <s:si>
    <s:t>Фамилия/Организация</s:t>
  </s:si>
  <s:si>
    <s:t>Трачук</s:t>
  </s:si>
  <s:si>
    <s:t>Гранит</s:t>
  </s:si>
  <s:si>
    <s:t>Дмитренко Евгений</s:t>
  </s:si>
  <s:si>
    <s:t>Питание</s:t>
  </s:si>
  <s:si>
    <s:t>НДС</s:t>
  </s:si>
  <s:si>
    <s:t>З</s:t>
  </s:si>
  <s:si>
    <s:t>О</s:t>
  </s:si>
  <s:si>
    <s:t>У</s:t>
  </s:si>
  <s:si>
    <s:t>Итого завтрак/обед/ужин в день</s:t>
  </s:si>
  <s:si>
    <s:t>Завтрак</s:t>
  </s:si>
  <s:si>
    <s:t>Обед</s:t>
  </s:si>
  <s:si>
    <s:t>Ужин</s:t>
  </s:si>
  <s:si>
    <s:t>Да</s:t>
  </s:si>
  <s:si>
    <s:t>Нет</s:t>
  </s:si>
  <s:si>
    <s:t>НДС 22%</s:t>
  </s:si>
  <s:si>
    <s:t>с НДС</s:t>
  </s:si>
  <s:si>
    <s:t>без НДС</s:t>
  </s:si>
  <s:si>
    <s:t>Наименование</s:t>
  </s:si>
  <s:si>
    <s:t>Кол-во завтраков</s:t>
  </s:si>
  <s:si>
    <s:t>Кол-во обедов</s:t>
  </s:si>
  <s:si>
    <s:t>Кол-во ужинов</s:t>
  </s:si>
  <s:si>
    <s:t>Питание как отдельная услуга</s:t>
  </s:si>
  <s:si>
    <s:t>Кафе "Джем"</s:t>
  </s:si>
  <s:si>
    <s:t>Налич</s:t>
  </s:si>
  <s:si>
    <s:t>Питание за наличку</s:t>
  </s:si>
  <s:si>
    <s:t>Итого за месяц</s:t>
  </s:si>
  <s:si>
    <s:t>Из них с НДС</s:t>
  </s:si>
  <s:si>
    <s:t>Из них без НДС</s:t>
  </s:si>
  <s:si>
    <s:t>Из них наличными</s:t>
  </s:si>
  <s:si>
    <s:t>Итого в день питание с НДС</s:t>
  </s:si>
  <s:si>
    <s:t>Итого в день питание без НДС</s:t>
  </s:si>
  <s:si>
    <s:t>Итого в день питание за наличные</s:t>
  </s:si>
  <s:si>
    <s:t>Итого в месяц питание за наличные (проверка)</s:t>
  </s:si>
  <s:si>
    <s:t>Итого в месяц питание с НДС (проверка)</s:t>
  </s:si>
  <s:si>
    <s:t>Сумма за питание за месяц, руб.</s:t>
  </s:si>
  <s:si>
    <s:t>Питание за месяц в цене номера</s:t>
  </s:si>
  <s:si>
    <s:t>Итого в месяц питание без НДС (проверка)</s:t>
  </s:si>
  <s:si>
    <s:r>
      <s:t xml:space="preserve">Бутанаева  </s:t>
    </s:r>
    <s:r>
      <s:rPr>
        <s:rFont val="Calibri"/>
        <s:charset val="204"/>
        <s:family val="2"/>
        <s:b val="1"/>
        <s:i val="1"/>
        <s:sz val="16"/>
        <s:scheme val="minor"/>
      </s:rPr>
      <s:t xml:space="preserve">№ </s:t>
    </s:r>
    <s:r>
      <s:rPr>
        <s:rFont val="Calibri"/>
        <s:charset val="204"/>
        <s:family val="2"/>
        <s:b val="1"/>
        <s:sz val="16"/>
        <s:scheme val="minor"/>
      </s:rPr>
      <s:t>107</s:t>
    </s:r>
  </s:si>
  <s:si>
    <s:t>Коконкова № 108</s:t>
  </s:si>
  <s:si>
    <s:t>Сергеева № 107</s:t>
  </s:si>
  <s:si>
    <s:t>сдано</s:t>
  </s:si>
  <s:si>
    <s:t>Мельников 404.4</s:t>
  </s:si>
  <s:si>
    <s:t>в тарифе</s:t>
  </s:si>
  <s:si>
    <s:t>Кальной Андрей</s:t>
  </s:si>
  <s:si>
    <s:t>Енькова Александра</s:t>
  </s:si>
  <s:si>
    <s:t>Яицкий Виктор</s:t>
  </s:si>
  <s:si>
    <s:t>без чека</s:t>
  </s:si>
  <s:si>
    <s:t>Гости спортсменки</s:t>
  </s:si>
  <s:si>
    <s:t>З -Завтрак</s:t>
  </s:si>
  <s:si>
    <s:t>О - Обед</s:t>
  </s:si>
  <s:si>
    <s:t>У - Ужин</s:t>
  </s:si>
  <s:si>
    <s:t>Расходы на питание</s:t>
  </s:si>
  <s:si>
    <s:t>Закупка продуктов</s:t>
  </s:si>
  <s:si>
    <s:t>ФОТ</s:t>
  </s:si>
  <s:si>
    <s:t>Электроэнергия</s:t>
  </s:si>
  <s:si>
    <s:t>да/нет/нал</s:t>
  </s:si>
  <s:si>
    <s:t>Прибыль:</s:t>
  </s:si>
  <s:si>
    <s:t>Еще издержки</s:t>
  </s:si>
  <s:si>
    <s:t>Из них на счете:</s:t>
  </s:si>
  <s:si>
    <s:t>Из них наличными:</s:t>
  </s:si>
  <s:si>
    <s:t>безнал</s:t>
  </s:si>
  <s:si>
    <s:t>наличные</s:t>
  </s:si>
  <s:si>
    <s:t>Налог 20%+15%</s:t>
  </s:si>
  <s:si>
    <s:t>Налог 15%</s:t>
  </s:si>
  <s:si>
    <s:t>Турки</s:t>
  </s:si>
  <s:si>
    <s:t>Ростов ГБ дев</s:t>
  </s:si>
  <s:si>
    <s:t>бизнес-ланч</s:t>
  </s:si>
  <s:si>
    <s:t>Екатер СП</s:t>
  </s:si>
  <s:si>
    <s:t>Сириус СП</s:t>
  </s:si>
  <s:si>
    <s:t>Жердакова СП</s:t>
  </s:si>
  <s:si>
    <s:t xml:space="preserve">Селезнева </s:t>
  </s:si>
  <s:si>
    <s:t>Звягинцев</s:t>
  </s:si>
  <s:si>
    <s:t>Степанова</s:t>
  </s:si>
  <s:si>
    <s:t>Кебало</s:t>
  </s:si>
  <s:si>
    <s:t>Свирский</s:t>
  </s:si>
  <s:si>
    <s:t>18.12 завтрак</s:t>
  </s:si>
  <s:si>
    <s:t>15-19.12 завтраки</s:t>
  </s:si>
  <s:si>
    <s:t>Ростов</s:t>
  </s:si>
  <s:si>
    <s:t>Налог 22%+15%</s:t>
  </s:si>
  <s:si>
    <s:t>НДС 20%</s:t>
  </s:si>
  <s:si>
    <s:t>Питание в цене номера (без НДС)</s:t>
  </s:si>
  <s:si>
    <s:t>Питание как отдельная услуга (с НДС)</s:t>
  </s:si>
  <s:si>
    <s:t>Завтрак/ужин 101 с ндс</s:t>
  </s:si>
  <s:si>
    <s:t xml:space="preserve">Завтрак </s:t>
  </s:si>
  <s:si>
    <s:t>Бизнес  ланч</s:t>
  </s:si>
  <s:si>
    <s:t>№ комн.</s:t>
  </s:si>
  <s:si>
    <s:t>№ комн</s:t>
  </s:si>
  <s:si>
    <s:t>404.4</s:t>
  </s:si>
  <s:si>
    <s:t>Завтраки</s:t>
  </s:si>
  <s:si>
    <s:t>Калуга Хоккей</s:t>
  </s:si>
  <s:si>
    <s:t>Севастополь Водное поло</s:t>
  </s:si>
  <s:si>
    <s:t>Турки Колинз</s:t>
  </s:si>
  <s:si>
    <s:t>Ростов Гандбол</s:t>
  </s:si>
  <s:si>
    <s:t/>
  </s:si>
  <s:si>
    <s:t>Бизнес ланч</s:t>
  </s:si>
  <s:si>
    <s:t>Дьячкова</s:t>
  </s:si>
  <s:si>
    <s:t>Казань СП</s:t>
  </s:si>
  <s:si>
    <s:t>Екатеринбург СП</s:t>
  </s:si>
  <s:si>
    <s:t>Сочи СП</s:t>
  </s:si>
  <s:si>
    <s:t>ТФ сусанин</s:t>
  </s:si>
  <s:si>
    <s:t>Банк России</s:t>
  </s:si>
  <s:si>
    <s:t>Легкая Ирина </s:t>
  </s:si>
  <s:si>
    <s:t>Биккузин Айрат</s:t>
  </s:si>
  <s:si>
    <s:t>Филатов Анатолий</s:t>
  </s:si>
  <s:si>
    <s:t>Биккузин Айрат *101</s:t>
  </s:si>
  <s:si>
    <s:t>Биккузин Айрат №101</s:t>
  </s:si>
  <s:si>
    <s:t>Филатов Анатолий №106</s:t>
  </s:si>
  <s:si>
    <s:t>екатеринбург СП 24-29.03</s:t>
  </s:si>
  <s:si>
    <s:t>Екатеринбург СП 24-29.03</s:t>
  </s:si>
  <s:si>
    <s:t>Легкая Ирина 405.2</s:t>
  </s:si>
  <s:si>
    <s:t>Филатов Анатолий №105</s:t>
  </s:si>
  <s:si>
    <s:t>Черепнев Андрей</s:t>
  </s:si>
  <s:si>
    <s:t>Черепнев Андрей №109</s:t>
  </s:si>
  <s:si>
    <s:t>Налог 2% с питания в цене номера</s:t>
  </s:si>
  <s:si>
    <s:t>Иванова Кристина №109</s:t>
  </s:si>
  <s:si>
    <s:t>Иванова Кристина №109 600 руб</s:t>
  </s:si>
  <s:si>
    <s:t>Екатеринбург СП 25-29.03</s:t>
  </s:si>
  <s:si>
    <s:t>Сочи СП 24-29.03</s:t>
  </s:si>
  <s:si>
    <s:t>Зенит 13-15.03</s:t>
  </s:si>
  <s:si>
    <s:t>Кутько Д.</s:t>
  </s:si>
  <s:si>
    <s:t>Сочи СП 25-30.03</s:t>
  </s:si>
  <s:si>
    <s:t>Кифенко Олеся</s:t>
  </s:si>
  <s:si>
    <s:t>Червенко Ксения</s:t>
  </s:si>
  <s:si>
    <s:t>Бокс ХМАО Югра</s:t>
  </s:si>
  <s:si>
    <s:t>ВП Ст-Петербург</s:t>
  </s:si>
  <s:si>
    <s:t>Платонов Денис</s:t>
  </s:si>
  <s:si>
    <s:t>Чистюхин Максим</s:t>
  </s:si>
  <s:si>
    <s:t>Симгатулова Лилия</s:t>
  </s:si>
  <s:si>
    <s:t>Симгатуллова Лилия 2х600 руб</s:t>
  </s:si>
  <s:si>
    <s:t>Кифенко Олеся 300 руб</s:t>
  </s:si>
  <s:si>
    <s:t>Стерлядкина</s:t>
  </s:si>
  <s:si>
    <s:t>103 Булак Ольга</s:t>
  </s:si>
  <s:si>
    <s:t>Зенит 15.03</s:t>
  </s:si>
  <s:si>
    <s:t>Булак Ольга</s:t>
  </s:si>
  <s:si>
    <s:t>Арендатор суп*салат 460 руб</s:t>
  </s:si>
  <s:si>
    <s:t>ООО Арильд</s:t>
  </s:si>
  <s:si>
    <s:t>Чембаров</s:t>
  </s:si>
  <s:si>
    <s:t>405.4</s:t>
  </s:si>
  <s:si>
    <s:t>Нестрогаев</s:t>
  </s:si>
  <s:si>
    <s:t>Рогатнев</s:t>
  </s:si>
  <s:si>
    <s:t>Кощеев</s:t>
  </s:si>
  <s:si>
    <s:t>Русинов евгений</s:t>
  </s:si>
  <s:si>
    <s:t>Русинов Евгений</s:t>
  </s:si>
  <s:si>
    <s:t>Семенов Виктор</s:t>
  </s:si>
  <s:si>
    <s:t>Разумов Алексей</s:t>
  </s:si>
  <s:si>
    <s:t>Сорокин</s:t>
  </s:si>
  <s:si>
    <s:t>Киямов</s:t>
  </s:si>
  <s:si>
    <s:t>Скобельский</s:t>
  </s:si>
  <s:si>
    <s:t>Палащенко</s:t>
  </s:si>
  <s:si>
    <s:t>Алексеев</s:t>
  </s:si>
  <s:si>
    <s:t>Михайлов</s:t>
  </s:si>
  <s:si>
    <s:t>2 Китайца</s:t>
  </s:si>
  <s:si>
    <s:t>Китай</s:t>
  </s:si>
  <s:si>
    <s:t>Белозеров</s:t>
  </s:si>
</s:sst>
</file>

<file path=xl/styles.xml><?xml version="1.0" encoding="utf-8"?>
<s:styleSheet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mc:Ignorable="x14ac x16r2 xr">
  <s:numFmts count="7">
    <s:numFmt numFmtId="44" formatCode="_-* #,##0.00\ &quot;₽&quot;_-;\-* #,##0.00\ &quot;₽&quot;_-;_-* &quot;-&quot;??\ &quot;₽&quot;_-;_-@_-"/>
    <s:numFmt numFmtId="43" formatCode="_-* #,##0.00_-;\-* #,##0.00_-;_-* &quot;-&quot;??_-;_-@_-"/>
    <s:numFmt numFmtId="164" formatCode="[$-419]mmmm\ yyyy;@"/>
    <s:numFmt numFmtId="165" formatCode="_-* #,##0\ _₽_-;\-* #,##0\ _₽_-;_-* &quot;-&quot;??\ _₽_-;_-@_-"/>
    <s:numFmt numFmtId="166" formatCode="d/m;@"/>
    <s:numFmt numFmtId="167" formatCode="_-* #,##0_-;&quot;-&quot;* #,##0_-;_-* &quot;-&quot;_-;_-@_-"/>
    <s:numFmt numFmtId="168" formatCode="_-* #,##0\ &quot;₽&quot;_-;\-* #,##0\ &quot;₽&quot;_-;_-* &quot;-&quot;??\ &quot;₽&quot;_-;_-@_-"/>
  </s:numFmts>
  <s:fonts x14ac:knownFonts="1" count="29"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Tahoma"/>
      <s:charset val="204"/>
      <s:family val="2"/>
      <s:b val="1"/>
      <s:sz val="9"/>
    </s:font>
    <s:font>
      <s:name val="Tahoma"/>
      <s:charset val="204"/>
      <s:family val="2"/>
      <s:sz val="9"/>
    </s:font>
    <s:font>
      <s:name val="Calibri"/>
      <s:charset val="204"/>
      <s:family val="2"/>
      <s:color theme="1"/>
      <s:sz val="16"/>
      <s:scheme val="minor"/>
    </s:font>
    <s:font>
      <s:name val="Calibri"/>
      <s:charset val="204"/>
      <s:family val="2"/>
      <s:b val="1"/>
      <s:color theme="1"/>
      <s:sz val="16"/>
      <s:scheme val="minor"/>
    </s:font>
    <s:font>
      <s:name val="Calibri"/>
      <s:charset val="204"/>
      <s:family val="2"/>
      <s:sz val="16"/>
      <s:scheme val="minor"/>
    </s:font>
    <s:font>
      <s:name val="Calibri"/>
      <s:charset val="204"/>
      <s:family val="2"/>
      <s:b val="1"/>
      <s:i val="1"/>
      <s:sz val="16"/>
      <s:scheme val="minor"/>
    </s:font>
    <s:font>
      <s:name val="Calibri"/>
      <s:charset val="204"/>
      <s:family val="2"/>
      <s:b val="1"/>
      <s:color indexed="2"/>
      <s:sz val="16"/>
      <s:scheme val="minor"/>
    </s:font>
    <s:font>
      <s:name val="Calibri"/>
      <s:charset val="204"/>
      <s:family val="2"/>
      <s:b val="1"/>
      <s:sz val="16"/>
    </s:font>
    <s:font>
      <s:name val="Calibri"/>
      <s:charset val="204"/>
      <s:family val="2"/>
      <s:b val="1"/>
      <s:sz val="16"/>
      <s:scheme val="minor"/>
    </s:font>
    <s:font>
      <s:name val="Calibri"/>
      <s:charset val="204"/>
      <s:family val="2"/>
      <s:color theme="1"/>
      <s:sz val="14"/>
      <s:scheme val="minor"/>
    </s:font>
    <s:font>
      <s:name val="Calibri"/>
      <s:charset val="204"/>
      <s:family val="2"/>
      <s:b val="1"/>
      <s:color indexed="2"/>
      <s:sz val="22"/>
      <s:scheme val="minor"/>
    </s:font>
    <s:font>
      <s:name val="Calibri"/>
      <s:charset val="204"/>
      <s:family val="2"/>
      <s:b val="1"/>
      <s:i val="1"/>
      <s:sz val="22"/>
      <s:scheme val="minor"/>
    </s:font>
    <s:font>
      <s:name val="Calibri"/>
      <s:charset val="204"/>
      <s:family val="2"/>
      <s:b val="1"/>
      <s:color theme="1"/>
      <s:sz val="18"/>
      <s:scheme val="minor"/>
    </s:font>
    <s:font>
      <s:name val="Calibri"/>
      <s:charset val="204"/>
      <s:family val="2"/>
      <s:b val="1"/>
      <s:color theme="1"/>
      <s:sz val="14"/>
      <s:scheme val="minor"/>
    </s:font>
    <s:font>
      <s:name val="Calibri"/>
      <s:charset val="204"/>
      <s:family val="2"/>
      <s:sz val="8"/>
      <s:scheme val="minor"/>
    </s:font>
    <s:font>
      <s:name val="Tahoma"/>
      <s:charset val="204"/>
      <s:family val="2"/>
      <s:b val="1"/>
      <s:color indexed="81"/>
      <s:sz val="14"/>
    </s:font>
    <s:font>
      <s:name val="Calibri"/>
      <s:charset val="204"/>
      <s:family val="2"/>
      <s:b val="1"/>
      <s:color rgb="FFFF0000"/>
      <s:sz val="16"/>
    </s:font>
    <s:font>
      <s:name val="Calibri"/>
      <s:charset val="204"/>
      <s:family val="2"/>
      <s:b val="1"/>
      <s:sz val="14"/>
    </s:font>
    <s:font>
      <s:name val="Calibri"/>
      <s:charset val="204"/>
      <s:family val="2"/>
      <s:color theme="1"/>
      <s:sz val="12"/>
      <s:scheme val="minor"/>
    </s:font>
    <s:font>
      <s:name val="Calibri"/>
      <s:charset val="204"/>
      <s:family val="2"/>
      <s:b val="1"/>
      <s:sz val="14"/>
      <s:scheme val="minor"/>
    </s:font>
    <s:font>
      <s:name val="Calibri"/>
      <s:charset val="204"/>
      <s:family val="2"/>
      <s:b val="1"/>
      <s:sz val="12"/>
      <s:scheme val="minor"/>
    </s:font>
    <s:font>
      <s:name val="Calibri"/>
      <s:charset val="204"/>
      <s:family val="2"/>
      <s:b val="0"/>
      <s:sz val="16"/>
      <s:scheme val="minor"/>
    </s:font>
    <s:font>
      <s:name val="Calibri"/>
      <s:charset val="204"/>
      <s:family val="2"/>
      <s:b val="0"/>
      <s:i val="1"/>
      <s:sz val="16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b val="1"/>
    </s:font>
    <s:font>
      <s:name val="Calibri"/>
      <s:charset val="204"/>
      <s:family val="2"/>
      <s:b val="0"/>
      <s:color theme="1"/>
      <s:sz val="11"/>
      <s:scheme val="minor"/>
    </s:font>
    <s:font>
      <s:b val="0"/>
    </s:font>
  </s:fonts>
  <s:fills count="16">
    <s:fill>
      <s:patternFill patternType="none"/>
    </s:fill>
    <s:fill>
      <s:patternFill patternType="gray125"/>
    </s:fill>
    <s:fill>
      <s:patternFill patternType="solid">
        <s:fgColor indexed="5"/>
        <s:bgColor indexed="5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theme="4" tint="0.4"/>
        <s:bgColor theme="4" tint="0.4"/>
      </s:patternFill>
    </s:fill>
    <s:fill>
      <s:patternFill patternType="solid">
        <s:fgColor theme="9" tint="0.6"/>
        <s:bgColor theme="9" tint="0.6"/>
      </s:patternFill>
    </s:fill>
    <s:fill>
      <s:patternFill patternType="solid">
        <s:fgColor theme="0"/>
        <s:bgColor theme="0"/>
      </s:patternFill>
    </s:fill>
    <s:fill>
      <s:patternFill patternType="solid">
        <s:fgColor theme="5" tint="0.6"/>
        <s:bgColor theme="5" tint="0.6"/>
      </s:patternFill>
    </s:fill>
    <s:fill>
      <s:patternFill patternType="solid">
        <s:fgColor theme="0"/>
        <s:bgColor theme="8" tint="0.6"/>
      </s:patternFill>
    </s:fill>
    <s:fill>
      <s:patternFill patternType="solid">
        <s:fgColor theme="0"/>
        <s:bgColor indexed="64"/>
      </s:patternFill>
    </s:fill>
    <s:fill>
      <s:patternFill patternType="solid">
        <s:fgColor theme="0"/>
        <s:bgColor indexed="5"/>
      </s:patternFill>
    </s:fill>
    <s:fill>
      <s:patternFill patternType="solid">
        <s:fgColor rgb="FFFFFF00"/>
        <s:bgColor indexed="64"/>
      </s:patternFill>
    </s:fill>
    <s:fill>
      <s:patternFill patternType="solid">
        <s:fgColor rgb="FFFFFF00"/>
        <s:bgColor theme="0"/>
      </s:patternFill>
    </s:fill>
    <s:fill>
      <s:patternFill patternType="solid">
        <s:fgColor rgb="FF92D050"/>
        <s:bgColor theme="0"/>
      </s:patternFill>
    </s:fill>
    <s:fill>
      <s:patternFill patternType="solid">
        <s:fgColor rgb="FFFF0000"/>
        <s:bgColor indexed="64"/>
      </s:patternFill>
    </s:fill>
    <s:fill>
      <s:patternFill patternType="solid">
        <s:fgColor theme="9" tint="0.6"/>
        <s:bgColor indexed="64"/>
      </s:patternFill>
    </s:fill>
  </s:fills>
  <s:borders count="48">
    <s:border>
      <s:left/>
      <s:right/>
      <s:top/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/>
      <s:right style="thin">
        <s:color auto="1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/>
      <s:top style="medium">
        <s:color auto="1"/>
      </s:top>
      <s:bottom style="medium">
        <s:color indexed="64"/>
      </s:bottom>
      <s:diagonal/>
    </s:border>
    <s:border>
      <s:left/>
      <s:right/>
      <s:top style="medium">
        <s:color auto="1"/>
      </s:top>
      <s:bottom style="medium">
        <s:color indexed="64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indexed="64"/>
      </s:top>
      <s:bottom/>
      <s:diagonal/>
    </s:border>
    <s:border>
      <s:left style="thin">
        <s:color auto="1"/>
      </s:left>
      <s:right/>
      <s:top style="medium">
        <s:color auto="1"/>
      </s:top>
      <s:bottom/>
      <s:diagonal/>
    </s:border>
    <s:border>
      <s:left style="medium">
        <s:color indexed="64"/>
      </s:left>
      <s:right style="thin">
        <s:color auto="1"/>
      </s:right>
      <s:top style="medium">
        <s:color indexed="64"/>
      </s:top>
      <s:bottom/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/>
      <s:diagonal/>
    </s:border>
    <s:border>
      <s:left/>
      <s:right style="thin">
        <s:color auto="1"/>
      </s:right>
      <s:top style="medium">
        <s:color indexed="64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/>
      <s:diagonal/>
    </s:border>
    <s:border>
      <s:left/>
      <s:right/>
      <s:top style="medium">
        <s:color auto="1"/>
      </s:top>
      <s:bottom/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</s:borders>
  <s:cellStyleXfs count="3">
    <s:xf numFmtId="0" fontId="0" fillId="0" borderId="0"/>
    <s:xf numFmtId="43" fontId="1" fillId="0" borderId="0" applyFont="0" applyFill="0" applyBorder="0" applyAlignment="0" applyProtection="0"/>
    <s:xf numFmtId="44" fontId="1" fillId="0" borderId="0" applyFont="0" applyFill="0" applyBorder="0" applyAlignment="0" applyProtection="0"/>
  </s:cellStyleXfs>
  <s:cellXfs count="235">
    <s:xf numFmtId="0" fontId="0" fillId="0" borderId="0" xfId="0"/>
    <s:xf numFmtId="0" fontId="4" fillId="0" borderId="7" xfId="0" applyFont="1" applyBorder="1" applyAlignment="1">
      <s:alignment horizontal="center" vertical="center" mc:Ignorable="vyd"/>
    </s:xf>
    <s:xf numFmtId="0" fontId="4" fillId="0" borderId="7" xfId="0" applyFont="1" applyBorder="1" applyAlignment="1">
      <s:alignment horizontal="center" mc:Ignorable="vyd"/>
    </s:xf>
    <s:xf numFmtId="0" fontId="5" fillId="0" borderId="7" xfId="0" applyFont="1" applyBorder="1" applyAlignment="1">
      <s:alignment horizontal="center" mc:Ignorable="vyd"/>
    </s:xf>
    <s:xf numFmtId="0" fontId="0" fillId="0" borderId="0" xfId="0" applyAlignment="1">
      <s:alignment horizontal="center" vertical="center" mc:Ignorable="vyd"/>
    </s:xf>
    <s:xf numFmtId="0" fontId="6" fillId="0" borderId="0" xfId="0" applyFont="1" applyProtection="1">
      <s:protection locked="0" hidden="1"/>
    </s:xf>
    <s:xf numFmtId="49" fontId="7" fillId="10" borderId="0" xfId="0" applyNumberFormat="1" applyFont="1" applyFill="1" applyAlignment="1">
      <s:alignment horizontal="center" vertical="center" mc:Ignorable="vyd"/>
    </s:xf>
    <s:xf numFmtId="0" fontId="9" fillId="3" borderId="2" xfId="0" applyFont="1" applyFill="1" applyBorder="1" applyAlignment="1">
      <s:alignment horizontal="center" vertical="center" wrapText="1" mc:Ignorable="vyd"/>
    </s:xf>
    <s:xf numFmtId="0" fontId="9" fillId="3" borderId="3" xfId="0" applyFont="1" applyFill="1" applyBorder="1" applyAlignment="1">
      <s:alignment horizontal="center" vertical="center" wrapText="1" mc:Ignorable="vyd"/>
    </s:xf>
    <s:xf numFmtId="0" fontId="9" fillId="4" borderId="2" xfId="0" applyFont="1" applyFill="1" applyBorder="1" applyAlignment="1">
      <s:alignment horizontal="center" vertical="center" wrapText="1" mc:Ignorable="vyd"/>
    </s:xf>
    <s:xf numFmtId="0" fontId="9" fillId="4" borderId="3" xfId="0" applyFont="1" applyFill="1" applyBorder="1" applyAlignment="1">
      <s:alignment horizontal="center" vertical="center" wrapText="1" mc:Ignorable="vyd"/>
    </s:xf>
    <s:xf numFmtId="49" fontId="9" fillId="5" borderId="15" xfId="0" applyNumberFormat="1" applyFont="1" applyFill="1" applyBorder="1" applyAlignment="1">
      <s:alignment horizontal="center" vertical="center" wrapText="1" mc:Ignorable="vyd"/>
    </s:xf>
    <s:xf numFmtId="49" fontId="9" fillId="5" borderId="2" xfId="0" applyNumberFormat="1" applyFont="1" applyFill="1" applyBorder="1" applyAlignment="1">
      <s:alignment horizontal="center" vertical="center" wrapText="1" mc:Ignorable="vyd"/>
    </s:xf>
    <s:xf numFmtId="49" fontId="9" fillId="5" borderId="4" xfId="0" applyNumberFormat="1" applyFont="1" applyFill="1" applyBorder="1" applyAlignment="1">
      <s:alignment horizontal="center" vertical="center" wrapText="1" mc:Ignorable="vyd"/>
    </s:xf>
    <s:xf numFmtId="0" fontId="9" fillId="3" borderId="6" xfId="0" applyFont="1" applyFill="1" applyBorder="1" applyAlignment="1">
      <s:alignment horizontal="center" vertical="center" wrapText="1" mc:Ignorable="vyd"/>
    </s:xf>
    <s:xf numFmtId="0" fontId="9" fillId="3" borderId="7" xfId="0" applyFont="1" applyFill="1" applyBorder="1" applyAlignment="1">
      <s:alignment horizontal="center" vertical="center" wrapText="1" mc:Ignorable="vyd"/>
    </s:xf>
    <s:xf numFmtId="0" fontId="9" fillId="3" borderId="9" xfId="0" applyFont="1" applyFill="1" applyBorder="1" applyAlignment="1">
      <s:alignment horizontal="center" vertical="center" wrapText="1" mc:Ignorable="vyd"/>
    </s:xf>
    <s:xf numFmtId="166" fontId="9" fillId="3" borderId="10" xfId="0" applyNumberFormat="1" applyFont="1" applyFill="1" applyBorder="1" applyAlignment="1">
      <s:alignment horizontal="center" vertical="center" mc:Ignorable="vyd"/>
    </s:xf>
    <s:xf numFmtId="0" fontId="9" fillId="4" borderId="6" xfId="0" applyFont="1" applyFill="1" applyBorder="1" applyAlignment="1">
      <s:alignment horizontal="center" vertical="center" wrapText="1" mc:Ignorable="vyd"/>
    </s:xf>
    <s:xf numFmtId="0" fontId="9" fillId="4" borderId="7" xfId="0" applyFont="1" applyFill="1" applyBorder="1" applyAlignment="1">
      <s:alignment horizontal="center" vertical="center" wrapText="1" mc:Ignorable="vyd"/>
    </s:xf>
    <s:xf numFmtId="49" fontId="9" fillId="5" borderId="10" xfId="0" applyNumberFormat="1" applyFont="1" applyFill="1" applyBorder="1" applyAlignment="1">
      <s:alignment horizontal="center" vertical="center" wrapText="1" mc:Ignorable="vyd"/>
    </s:xf>
    <s:xf numFmtId="49" fontId="9" fillId="5" borderId="6" xfId="0" applyNumberFormat="1" applyFont="1" applyFill="1" applyBorder="1" applyAlignment="1">
      <s:alignment horizontal="center" vertical="center" wrapText="1" mc:Ignorable="vyd"/>
    </s:xf>
    <s:xf numFmtId="49" fontId="9" fillId="5" borderId="8" xfId="0" applyNumberFormat="1" applyFont="1" applyFill="1" applyBorder="1" applyAlignment="1">
      <s:alignment horizontal="center" vertical="center" wrapText="1" mc:Ignorable="vyd"/>
    </s:xf>
    <s:xf numFmtId="0" fontId="6" fillId="8" borderId="6" xfId="0" applyFont="1" applyFill="1" applyBorder="1" applyAlignment="1">
      <s:alignment horizontal="center" vertical="center" mc:Ignorable="vyd"/>
    </s:xf>
    <s:xf numFmtId="0" fontId="10" fillId="9" borderId="7" xfId="0" applyFont="1" applyFill="1" applyBorder="1" applyAlignment="1" applyProtection="1">
      <s:alignment horizontal="left" vertical="center" mc:Ignorable="vyd"/>
      <s:protection locked="0"/>
    </s:xf>
    <s:xf numFmtId="0" fontId="10" fillId="9" borderId="8" xfId="0" applyFont="1" applyFill="1" applyBorder="1" applyAlignment="1" applyProtection="1">
      <s:alignment horizontal="center" vertical="center" mc:Ignorable="vyd"/>
      <s:protection locked="0"/>
    </s:xf>
    <s:xf numFmtId="167" fontId="10" fillId="0" borderId="7" xfId="0" applyNumberFormat="1" applyFont="1" applyBorder="1" applyAlignment="1" applyProtection="1">
      <s:alignment horizontal="center" vertical="center" mc:Ignorable="vyd"/>
      <s:protection locked="0"/>
    </s:xf>
    <s:xf numFmtId="167" fontId="10" fillId="0" borderId="10" xfId="0" applyNumberFormat="1" applyFont="1" applyBorder="1" applyAlignment="1" applyProtection="1">
      <s:alignment horizontal="center" vertical="center" mc:Ignorable="vyd"/>
      <s:protection locked="0"/>
    </s:xf>
    <s:xf numFmtId="165" fontId="10" fillId="6" borderId="10" xfId="1" applyNumberFormat="1" applyFont="1" applyFill="1" applyBorder="1" applyAlignment="1" applyProtection="1">
      <s:alignment horizontal="center" vertical="center" mc:Ignorable="vyd"/>
    </s:xf>
    <s:xf numFmtId="165" fontId="10" fillId="6" borderId="6" xfId="1" applyNumberFormat="1" applyFont="1" applyFill="1" applyBorder="1" applyAlignment="1" applyProtection="1">
      <s:alignment horizontal="center" vertical="center" mc:Ignorable="vyd"/>
    </s:xf>
    <s:xf numFmtId="165" fontId="10" fillId="6" borderId="8" xfId="1" applyNumberFormat="1" applyFont="1" applyFill="1" applyBorder="1" applyAlignment="1" applyProtection="1">
      <s:alignment horizontal="center" vertical="center" mc:Ignorable="vyd"/>
    </s:xf>
    <s:xf numFmtId="0" fontId="10" fillId="9" borderId="7" xfId="0" applyFont="1" applyFill="1" applyBorder="1" applyAlignment="1" applyProtection="1">
      <s:alignment horizontal="left" vertical="center" mc:Ignorable="vyd"/>
      <s:protection locked="0" hidden="1"/>
    </s:xf>
    <s:xf numFmtId="0" fontId="10" fillId="9" borderId="8" xfId="0" applyFont="1" applyFill="1" applyBorder="1" applyAlignment="1" applyProtection="1">
      <s:alignment horizontal="center" vertical="center" mc:Ignorable="vyd"/>
      <s:protection locked="0" hidden="1"/>
    </s:xf>
    <s:xf numFmtId="0" fontId="10" fillId="6" borderId="7" xfId="0" applyFont="1" applyFill="1" applyBorder="1" applyAlignment="1" applyProtection="1">
      <s:alignment horizontal="left" vertical="center" mc:Ignorable="vyd"/>
      <s:protection locked="0"/>
    </s:xf>
    <s:xf numFmtId="0" fontId="10" fillId="6" borderId="8" xfId="0" applyFont="1" applyFill="1" applyBorder="1" applyAlignment="1" applyProtection="1">
      <s:alignment horizontal="center" vertical="center" mc:Ignorable="vyd"/>
      <s:protection locked="0"/>
    </s:xf>
    <s:xf numFmtId="0" fontId="10" fillId="0" borderId="7" xfId="0" applyFont="1" applyBorder="1" applyAlignment="1" applyProtection="1">
      <s:alignment horizontal="left" vertical="center" mc:Ignorable="vyd"/>
      <s:protection locked="0"/>
    </s:xf>
    <s:xf numFmtId="0" fontId="10" fillId="0" borderId="8" xfId="0" applyFont="1" applyBorder="1" applyAlignment="1" applyProtection="1">
      <s:alignment horizontal="center" vertical="center" mc:Ignorable="vyd"/>
      <s:protection locked="0"/>
    </s:xf>
    <s:xf numFmtId="0" fontId="6" fillId="8" borderId="11" xfId="0" applyFont="1" applyFill="1" applyBorder="1" applyAlignment="1">
      <s:alignment horizontal="center" vertical="center" mc:Ignorable="vyd"/>
    </s:xf>
    <s:xf numFmtId="0" fontId="10" fillId="0" borderId="12" xfId="0" applyFont="1" applyBorder="1" applyAlignment="1" applyProtection="1">
      <s:alignment horizontal="left" vertical="center" mc:Ignorable="vyd"/>
      <s:protection locked="0"/>
    </s:xf>
    <s:xf numFmtId="0" fontId="10" fillId="0" borderId="13" xfId="0" applyFont="1" applyBorder="1" applyAlignment="1" applyProtection="1">
      <s:alignment horizontal="center" vertical="center" mc:Ignorable="vyd"/>
      <s:protection locked="0"/>
    </s:xf>
    <s:xf numFmtId="167" fontId="10" fillId="0" borderId="12" xfId="0" applyNumberFormat="1" applyFont="1" applyBorder="1" applyAlignment="1" applyProtection="1">
      <s:alignment horizontal="center" vertical="center" mc:Ignorable="vyd"/>
      <s:protection locked="0"/>
    </s:xf>
    <s:xf numFmtId="167" fontId="10" fillId="0" borderId="16" xfId="0" applyNumberFormat="1" applyFont="1" applyBorder="1" applyAlignment="1" applyProtection="1">
      <s:alignment horizontal="center" vertical="center" mc:Ignorable="vyd"/>
      <s:protection locked="0"/>
    </s:xf>
    <s:xf numFmtId="165" fontId="10" fillId="6" borderId="16" xfId="1" applyNumberFormat="1" applyFont="1" applyFill="1" applyBorder="1" applyAlignment="1" applyProtection="1">
      <s:alignment horizontal="center" vertical="center" mc:Ignorable="vyd"/>
    </s:xf>
    <s:xf numFmtId="165" fontId="10" fillId="6" borderId="11" xfId="1" applyNumberFormat="1" applyFont="1" applyFill="1" applyBorder="1" applyAlignment="1" applyProtection="1">
      <s:alignment horizontal="center" vertical="center" mc:Ignorable="vyd"/>
    </s:xf>
    <s:xf numFmtId="165" fontId="10" fillId="6" borderId="13" xfId="1" applyNumberFormat="1" applyFont="1" applyFill="1" applyBorder="1" applyAlignment="1" applyProtection="1">
      <s:alignment horizontal="center" vertical="center" mc:Ignorable="vyd"/>
    </s:xf>
    <s:xf numFmtId="0" fontId="6" fillId="6" borderId="0" xfId="0" applyFont="1" applyFill="1" applyAlignment="1">
      <s:alignment horizontal="center" vertical="center" mc:Ignorable="vyd"/>
    </s:xf>
    <s:xf numFmtId="0" fontId="10" fillId="6" borderId="0" xfId="0" applyFont="1" applyFill="1" applyAlignment="1">
      <s:alignment horizontal="left" vertical="center" mc:Ignorable="vyd"/>
    </s:xf>
    <s:xf numFmtId="0" fontId="10" fillId="6" borderId="0" xfId="0" applyFont="1" applyFill="1" applyAlignment="1">
      <s:alignment horizontal="center" vertical="center" mc:Ignorable="vyd"/>
    </s:xf>
    <s:xf numFmtId="0" fontId="9" fillId="7" borderId="17" xfId="0" applyFont="1" applyFill="1" applyBorder="1" applyAlignment="1">
      <s:alignment horizontal="left" vertical="center" mc:Ignorable="vyd"/>
    </s:xf>
    <s:xf numFmtId="0" fontId="10" fillId="9" borderId="9" xfId="0" applyFont="1" applyFill="1" applyBorder="1" applyAlignment="1" applyProtection="1">
      <s:alignment horizontal="center" vertical="center" mc:Ignorable="vyd"/>
      <s:protection locked="0"/>
    </s:xf>
    <s:xf numFmtId="0" fontId="10" fillId="9" borderId="7" xfId="0" applyFont="1" applyFill="1" applyBorder="1" applyAlignment="1" applyProtection="1">
      <s:alignment horizontal="center" vertical="center" mc:Ignorable="vyd"/>
      <s:protection locked="0"/>
    </s:xf>
    <s:xf numFmtId="0" fontId="10" fillId="9" borderId="9" xfId="0" applyFont="1" applyFill="1" applyBorder="1" applyAlignment="1" applyProtection="1">
      <s:alignment horizontal="center" vertical="center" mc:Ignorable="vyd"/>
      <s:protection locked="0" hidden="1"/>
    </s:xf>
    <s:xf numFmtId="0" fontId="10" fillId="9" borderId="7" xfId="0" applyFont="1" applyFill="1" applyBorder="1" applyAlignment="1" applyProtection="1">
      <s:alignment horizontal="center" vertical="center" mc:Ignorable="vyd"/>
      <s:protection locked="0" hidden="1"/>
    </s:xf>
    <s:xf numFmtId="0" fontId="10" fillId="6" borderId="9" xfId="0" applyFont="1" applyFill="1" applyBorder="1" applyAlignment="1" applyProtection="1">
      <s:alignment horizontal="center" vertical="center" mc:Ignorable="vyd"/>
      <s:protection locked="0"/>
    </s:xf>
    <s:xf numFmtId="0" fontId="10" fillId="6" borderId="7" xfId="0" applyFont="1" applyFill="1" applyBorder="1" applyAlignment="1" applyProtection="1">
      <s:alignment horizontal="center" vertical="center" mc:Ignorable="vyd"/>
      <s:protection locked="0"/>
    </s:xf>
    <s:xf numFmtId="0" fontId="10" fillId="9" borderId="14" xfId="0" applyFont="1" applyFill="1" applyBorder="1" applyAlignment="1" applyProtection="1">
      <s:alignment horizontal="center" vertical="center" mc:Ignorable="vyd"/>
      <s:protection locked="0"/>
    </s:xf>
    <s:xf numFmtId="0" fontId="10" fillId="9" borderId="12" xfId="0" applyFont="1" applyFill="1" applyBorder="1" applyAlignment="1" applyProtection="1">
      <s:alignment horizontal="center" vertical="center" mc:Ignorable="vyd"/>
      <s:protection locked="0"/>
    </s:xf>
    <s:xf numFmtId="0" fontId="6" fillId="0" borderId="0" xfId="0" applyFont="1" applyAlignment="1" applyProtection="1">
      <s:alignment horizontal="center" vertical="center" mc:Ignorable="vyd"/>
      <s:protection locked="0" hidden="1"/>
    </s:xf>
    <s:xf numFmtId="0" fontId="4" fillId="0" borderId="0" xfId="0" applyFont="1" applyAlignment="1" applyProtection="1">
      <s:alignment horizontal="center" vertical="center" mc:Ignorable="vyd"/>
      <s:protection locked="0" hidden="1"/>
    </s:xf>
    <s:xf numFmtId="164" fontId="8" fillId="0" borderId="0" xfId="0" applyNumberFormat="1" applyFont="1" applyAlignment="1" applyProtection="1">
      <s:alignment horizontal="center" vertical="center" mc:Ignorable="vyd"/>
      <s:protection locked="0"/>
    </s:xf>
    <s:xf numFmtId="165" fontId="6" fillId="0" borderId="1" xfId="0" applyNumberFormat="1" applyFont="1" applyBorder="1" applyAlignment="1" applyProtection="1">
      <s:alignment horizontal="center" vertical="center" mc:Ignorable="vyd"/>
      <s:protection locked="0" hidden="1"/>
    </s:xf>
    <s:xf numFmtId="0" fontId="4" fillId="0" borderId="0" xfId="0" applyFont="1" applyAlignment="1">
      <s:alignment horizontal="center" vertical="center" mc:Ignorable="vyd"/>
    </s:xf>
    <s:xf numFmtId="165" fontId="10" fillId="0" borderId="6" xfId="1" applyNumberFormat="1" applyFont="1" applyBorder="1" applyAlignment="1" applyProtection="1">
      <s:alignment horizontal="center" vertical="center" mc:Ignorable="vyd"/>
    </s:xf>
    <s:xf numFmtId="165" fontId="10" fillId="0" borderId="7" xfId="1" applyNumberFormat="1" applyFont="1" applyBorder="1" applyAlignment="1" applyProtection="1">
      <s:alignment horizontal="center" vertical="center" mc:Ignorable="vyd"/>
    </s:xf>
    <s:xf numFmtId="0" fontId="11" fillId="0" borderId="7" xfId="0" applyFont="1" applyBorder="1" applyAlignment="1">
      <s:alignment horizontal="center" vertical="center" mc:Ignorable="vyd"/>
    </s:xf>
    <s:xf numFmtId="1" fontId="11" fillId="0" borderId="7" xfId="0" applyNumberFormat="1" applyFont="1" applyBorder="1" applyAlignment="1">
      <s:alignment horizontal="center" vertical="center" mc:Ignorable="vyd"/>
    </s:xf>
    <s:xf numFmtId="49" fontId="13" fillId="2" borderId="0" xfId="0" applyNumberFormat="1" applyFont="1" applyFill="1" applyAlignment="1">
      <s:alignment horizontal="left" mc:Ignorable="vyd"/>
    </s:xf>
    <s:xf numFmtId="165" fontId="10" fillId="0" borderId="23" xfId="1" applyNumberFormat="1" applyFont="1" applyBorder="1" applyAlignment="1" applyProtection="1">
      <s:alignment horizontal="center" vertical="center" mc:Ignorable="vyd"/>
    </s:xf>
    <s:xf numFmtId="165" fontId="10" fillId="0" borderId="26" xfId="1" applyNumberFormat="1" applyFont="1" applyBorder="1" applyAlignment="1" applyProtection="1">
      <s:alignment horizontal="center" vertical="center" mc:Ignorable="vyd"/>
    </s:xf>
    <s:xf numFmtId="0" fontId="9" fillId="4" borderId="4" xfId="0" applyFont="1" applyFill="1" applyBorder="1" applyAlignment="1">
      <s:alignment horizontal="center" vertical="center" wrapText="1" mc:Ignorable="vyd"/>
    </s:xf>
    <s:xf numFmtId="165" fontId="10" fillId="7" borderId="26" xfId="1" applyNumberFormat="1" applyFont="1" applyFill="1" applyBorder="1" applyAlignment="1" applyProtection="1">
      <s:alignment horizontal="center" vertical="center" wrapText="1" mc:Ignorable="vyd"/>
    </s:xf>
    <s:xf numFmtId="165" fontId="10" fillId="7" borderId="24" xfId="1" applyNumberFormat="1" applyFont="1" applyFill="1" applyBorder="1" applyAlignment="1" applyProtection="1">
      <s:alignment horizontal="center" vertical="center" wrapText="1" mc:Ignorable="vyd"/>
    </s:xf>
    <s:xf numFmtId="0" fontId="9" fillId="4" borderId="18" xfId="0" applyFont="1" applyFill="1" applyBorder="1" applyAlignment="1">
      <s:alignment horizontal="center" vertical="center" wrapText="1" mc:Ignorable="vyd"/>
    </s:xf>
    <s:xf numFmtId="0" fontId="14" fillId="0" borderId="0" xfId="0" applyFont="1" applyAlignment="1">
      <s:alignment horizontal="right" vertical="center" mc:Ignorable="vyd"/>
    </s:xf>
    <s:xf numFmtId="167" fontId="10" fillId="9" borderId="10" xfId="0" applyNumberFormat="1" applyFont="1" applyFill="1" applyBorder="1" applyAlignment="1" applyProtection="1">
      <s:alignment horizontal="center" vertical="center" mc:Ignorable="vyd"/>
      <s:protection locked="0"/>
    </s:xf>
    <s:xf numFmtId="167" fontId="10" fillId="9" borderId="16" xfId="0" applyNumberFormat="1" applyFont="1" applyFill="1" applyBorder="1" applyAlignment="1" applyProtection="1">
      <s:alignment horizontal="center" vertical="center" mc:Ignorable="vyd"/>
      <s:protection locked="0"/>
    </s:xf>
    <s:xf numFmtId="167" fontId="10" fillId="0" borderId="9" xfId="0" applyNumberFormat="1" applyFont="1" applyBorder="1" applyAlignment="1" applyProtection="1">
      <s:alignment horizontal="center" vertical="center" mc:Ignorable="vyd"/>
      <s:protection locked="0"/>
    </s:xf>
    <s:xf numFmtId="167" fontId="10" fillId="0" borderId="14" xfId="0" applyNumberFormat="1" applyFont="1" applyBorder="1" applyAlignment="1" applyProtection="1">
      <s:alignment horizontal="center" vertical="center" mc:Ignorable="vyd"/>
      <s:protection locked="0"/>
    </s:xf>
    <s:xf numFmtId="166" fontId="9" fillId="3" borderId="8" xfId="0" applyNumberFormat="1" applyFont="1" applyFill="1" applyBorder="1" applyAlignment="1">
      <s:alignment horizontal="center" vertical="center" mc:Ignorable="vyd"/>
    </s:xf>
    <s:xf numFmtId="167" fontId="10" fillId="0" borderId="6" xfId="0" applyNumberFormat="1" applyFont="1" applyBorder="1" applyAlignment="1" applyProtection="1">
      <s:alignment horizontal="center" vertical="center" mc:Ignorable="vyd"/>
      <s:protection locked="0"/>
    </s:xf>
    <s:xf numFmtId="167" fontId="10" fillId="0" borderId="8" xfId="0" applyNumberFormat="1" applyFont="1" applyBorder="1" applyAlignment="1" applyProtection="1">
      <s:alignment horizontal="center" vertical="center" mc:Ignorable="vyd"/>
      <s:protection locked="0"/>
    </s:xf>
    <s:xf numFmtId="167" fontId="10" fillId="0" borderId="11" xfId="0" applyNumberFormat="1" applyFont="1" applyBorder="1" applyAlignment="1" applyProtection="1">
      <s:alignment horizontal="center" vertical="center" mc:Ignorable="vyd"/>
      <s:protection locked="0"/>
    </s:xf>
    <s:xf numFmtId="167" fontId="10" fillId="0" borderId="13" xfId="0" applyNumberFormat="1" applyFont="1" applyBorder="1" applyAlignment="1" applyProtection="1">
      <s:alignment horizontal="center" vertical="center" mc:Ignorable="vyd"/>
      <s:protection locked="0"/>
    </s:xf>
    <s:xf numFmtId="0" fontId="9" fillId="4" borderId="19" xfId="0" applyFont="1" applyFill="1" applyBorder="1" applyAlignment="1">
      <s:alignment horizontal="center" vertical="center" wrapText="1" mc:Ignorable="vyd"/>
    </s:xf>
    <s:xf numFmtId="0" fontId="10" fillId="7" borderId="27" xfId="0" applyFont="1" applyFill="1" applyBorder="1" applyAlignment="1">
      <s:alignment horizontal="center" vertical="center" mc:Ignorable="vyd"/>
    </s:xf>
    <s:xf numFmtId="0" fontId="10" fillId="7" borderId="28" xfId="0" applyFont="1" applyFill="1" applyBorder="1" applyAlignment="1">
      <s:alignment horizontal="center" vertical="center" mc:Ignorable="vyd"/>
    </s:xf>
    <s:xf numFmtId="0" fontId="10" fillId="7" borderId="29" xfId="0" applyFont="1" applyFill="1" applyBorder="1" applyAlignment="1">
      <s:alignment horizontal="center" vertical="center" mc:Ignorable="vyd"/>
    </s:xf>
    <s:xf numFmtId="0" fontId="10" fillId="7" borderId="30" xfId="0" applyFont="1" applyFill="1" applyBorder="1" applyAlignment="1">
      <s:alignment horizontal="center" vertical="center" mc:Ignorable="vyd"/>
    </s:xf>
    <s:xf numFmtId="0" fontId="10" fillId="7" borderId="31" xfId="0" applyFont="1" applyFill="1" applyBorder="1" applyAlignment="1">
      <s:alignment horizontal="center" vertical="center" mc:Ignorable="vyd"/>
    </s:xf>
    <s:xf numFmtId="0" fontId="9" fillId="7" borderId="20" xfId="0" applyFont="1" applyFill="1" applyBorder="1" applyAlignment="1">
      <s:alignment horizontal="center" vertical="center" mc:Ignorable="vyd"/>
    </s:xf>
    <s:xf numFmtId="0" fontId="4" fillId="0" borderId="10" xfId="0" applyFont="1" applyBorder="1" applyAlignment="1">
      <s:alignment horizontal="center" vertical="center" mc:Ignorable="vyd"/>
    </s:xf>
    <s:xf numFmtId="0" fontId="4" fillId="0" borderId="9" xfId="0" applyFont="1" applyBorder="1" applyAlignment="1">
      <s:alignment horizontal="center" vertical="center" mc:Ignorable="vyd"/>
    </s:xf>
    <s:xf numFmtId="0" fontId="9" fillId="4" borderId="5" xfId="0" applyFont="1" applyFill="1" applyBorder="1" applyAlignment="1">
      <s:alignment horizontal="center" vertical="center" wrapText="1" mc:Ignorable="vyd"/>
    </s:xf>
    <s:xf numFmtId="165" fontId="10" fillId="7" borderId="32" xfId="1" applyNumberFormat="1" applyFont="1" applyFill="1" applyBorder="1" applyAlignment="1" applyProtection="1">
      <s:alignment horizontal="center" vertical="center" wrapText="1" mc:Ignorable="vyd"/>
    </s:xf>
    <s:xf numFmtId="166" fontId="9" fillId="3" borderId="4" xfId="0" applyNumberFormat="1" applyFont="1" applyFill="1" applyBorder="1" applyAlignment="1">
      <s:alignment horizontal="center" vertical="center" mc:Ignorable="vyd"/>
    </s:xf>
    <s:xf numFmtId="0" fontId="4" fillId="0" borderId="6" xfId="0" applyFont="1" applyBorder="1" applyAlignment="1">
      <s:alignment horizontal="center" vertical="center" mc:Ignorable="vyd"/>
    </s:xf>
    <s:xf numFmtId="0" fontId="4" fillId="0" borderId="8" xfId="0" applyFont="1" applyBorder="1" applyAlignment="1">
      <s:alignment horizontal="center" vertical="center" mc:Ignorable="vyd"/>
    </s:xf>
    <s:xf numFmtId="0" fontId="9" fillId="3" borderId="5" xfId="0" applyFont="1" applyFill="1" applyBorder="1" applyAlignment="1">
      <s:alignment horizontal="center" vertical="center" wrapText="1" mc:Ignorable="vyd"/>
    </s:xf>
    <s:xf numFmtId="166" fontId="9" fillId="3" borderId="15" xfId="0" applyNumberFormat="1" applyFont="1" applyFill="1" applyBorder="1" applyAlignment="1">
      <s:alignment horizontal="center" vertical="center" mc:Ignorable="vyd"/>
    </s:xf>
    <s:xf numFmtId="0" fontId="4" fillId="0" borderId="23" xfId="0" applyFont="1" applyBorder="1" applyAlignment="1">
      <s:alignment horizontal="center" vertical="center" mc:Ignorable="vyd"/>
    </s:xf>
    <s:xf numFmtId="0" fontId="4" fillId="0" borderId="26" xfId="0" applyFont="1" applyBorder="1" applyAlignment="1">
      <s:alignment horizontal="center" vertical="center" mc:Ignorable="vyd"/>
    </s:xf>
    <s:xf numFmtId="0" fontId="4" fillId="0" borderId="24" xfId="0" applyFont="1" applyBorder="1" applyAlignment="1">
      <s:alignment horizontal="center" vertical="center" mc:Ignorable="vyd"/>
    </s:xf>
    <s:xf numFmtId="0" fontId="4" fillId="0" borderId="32" xfId="0" applyFont="1" applyBorder="1" applyAlignment="1">
      <s:alignment horizontal="center" vertical="center" mc:Ignorable="vyd"/>
    </s:xf>
    <s:xf numFmtId="0" fontId="4" fillId="0" borderId="22" xfId="0" applyFont="1" applyBorder="1" applyAlignment="1">
      <s:alignment horizontal="center" vertical="center" mc:Ignorable="vyd"/>
    </s:xf>
    <s:xf numFmtId="0" fontId="0" fillId="0" borderId="33" xfId="0" applyBorder="1" applyAlignment="1">
      <s:alignment horizontal="center" vertical="center" mc:Ignorable="vyd"/>
    </s:xf>
    <s:xf numFmtId="0" fontId="0" fillId="0" borderId="21" xfId="0" applyBorder="1" applyAlignment="1">
      <s:alignment horizontal="center" vertical="center" mc:Ignorable="vyd"/>
    </s:xf>
    <s:xf numFmtId="0" fontId="0" fillId="0" borderId="34" xfId="0" applyBorder="1" applyAlignment="1">
      <s:alignment horizontal="center" vertical="center" mc:Ignorable="vyd"/>
    </s:xf>
    <s:xf numFmtId="0" fontId="0" fillId="0" borderId="35" xfId="0" applyBorder="1" applyAlignment="1">
      <s:alignment horizontal="center" vertical="center" mc:Ignorable="vyd"/>
    </s:xf>
    <s:xf numFmtId="0" fontId="5" fillId="0" borderId="21" xfId="0" applyFont="1" applyBorder="1" applyAlignment="1">
      <s:alignment horizontal="right" vertical="center" mc:Ignorable="vyd"/>
    </s:xf>
    <s:xf numFmtId="49" fontId="9" fillId="5" borderId="20" xfId="0" applyNumberFormat="1" applyFont="1" applyFill="1" applyBorder="1" applyAlignment="1">
      <s:alignment horizontal="center" vertical="center" wrapText="1" mc:Ignorable="vyd"/>
    </s:xf>
    <s:xf numFmtId="168" fontId="10" fillId="12" borderId="36" xfId="2" applyNumberFormat="1" applyFont="1" applyFill="1" applyBorder="1" applyAlignment="1" applyProtection="1">
      <s:alignment horizontal="center" vertical="center" mc:Ignorable="vyd"/>
    </s:xf>
    <s:xf numFmtId="49" fontId="9" fillId="5" borderId="25" xfId="0" applyNumberFormat="1" applyFont="1" applyFill="1" applyBorder="1" applyAlignment="1">
      <s:alignment horizontal="center" vertical="center" wrapText="1" mc:Ignorable="vyd"/>
    </s:xf>
    <s:xf numFmtId="0" fontId="0" fillId="0" borderId="37" xfId="0" applyBorder="1"/>
    <s:xf numFmtId="168" fontId="4" fillId="11" borderId="25" xfId="0" applyNumberFormat="1" applyFont="1" applyFill="1" applyBorder="1" applyAlignment="1">
      <s:alignment horizontal="center" vertical="center" mc:Ignorable="vyd"/>
    </s:xf>
    <s:xf numFmtId="0" fontId="0" fillId="0" borderId="37" xfId="0" applyBorder="1" applyAlignment="1">
      <s:alignment horizontal="center" vertical="center" mc:Ignorable="vyd"/>
    </s:xf>
    <s:xf numFmtId="0" fontId="5" fillId="0" borderId="25" xfId="0" applyFont="1" applyBorder="1" applyAlignment="1">
      <s:alignment horizontal="right" vertical="center" mc:Ignorable="vyd"/>
    </s:xf>
    <s:xf numFmtId="0" fontId="15" fillId="0" borderId="25" xfId="0" applyFont="1" applyBorder="1" applyAlignment="1">
      <s:alignment horizontal="right" vertical="center" mc:Ignorable="vyd"/>
    </s:xf>
    <s:xf numFmtId="167" fontId="10" fillId="14" borderId="8" xfId="0" applyNumberFormat="1" applyFont="1" applyFill="1" applyBorder="1" applyAlignment="1" applyProtection="1">
      <s:alignment horizontal="center" vertical="center" mc:Ignorable="vyd"/>
      <s:protection locked="0"/>
    </s:xf>
    <s:xf numFmtId="167" fontId="10" fillId="14" borderId="9" xfId="0" applyNumberFormat="1" applyFont="1" applyFill="1" applyBorder="1" applyAlignment="1" applyProtection="1">
      <s:alignment horizontal="center" vertical="center" mc:Ignorable="vyd"/>
      <s:protection locked="0"/>
    </s:xf>
    <s:xf numFmtId="167" fontId="10" fillId="14" borderId="7" xfId="0" applyNumberFormat="1" applyFont="1" applyFill="1" applyBorder="1" applyAlignment="1" applyProtection="1">
      <s:alignment horizontal="center" vertical="center" mc:Ignorable="vyd"/>
      <s:protection locked="0"/>
    </s:xf>
    <s:xf numFmtId="167" fontId="10" fillId="14" borderId="10" xfId="0" applyNumberFormat="1" applyFont="1" applyFill="1" applyBorder="1" applyAlignment="1" applyProtection="1">
      <s:alignment horizontal="center" vertical="center" mc:Ignorable="vyd"/>
      <s:protection locked="0"/>
    </s:xf>
    <s:xf numFmtId="167" fontId="10" fillId="14" borderId="6" xfId="0" applyNumberFormat="1" applyFont="1" applyFill="1" applyBorder="1" applyAlignment="1" applyProtection="1">
      <s:alignment horizontal="center" vertical="center" mc:Ignorable="vyd"/>
      <s:protection locked="0"/>
    </s:xf>
    <s:xf numFmtId="0" fontId="11" fillId="0" borderId="0" xfId="0" applyFont="1"/>
    <s:xf numFmtId="49" fontId="7" fillId="10" borderId="0" xfId="0" applyNumberFormat="1" applyFont="1" applyFill="1" applyAlignment="1">
      <s:alignment horizontal="left" vertical="center" mc:Ignorable="vyd"/>
    </s:xf>
    <s:xf numFmtId="168" fontId="10" fillId="13" borderId="25" xfId="2" applyNumberFormat="1" applyFont="1" applyFill="1" applyBorder="1" applyAlignment="1" applyProtection="1">
      <s:alignment horizontal="center" vertical="center" mc:Ignorable="vyd"/>
    </s:xf>
    <s:xf numFmtId="0" fontId="0" fillId="0" borderId="7" xfId="0" applyBorder="1" applyAlignment="1">
      <s:alignment horizontal="center" vertical="center" mc:Ignorable="vyd"/>
    </s:xf>
    <s:xf numFmtId="0" fontId="18" fillId="3" borderId="4" xfId="0" applyFont="1" applyFill="1" applyBorder="1" applyAlignment="1">
      <s:alignment horizontal="center" vertical="center" wrapText="1" mc:Ignorable="vyd"/>
    </s:xf>
    <s:xf numFmtId="0" fontId="19" fillId="3" borderId="8" xfId="0" applyFont="1" applyFill="1" applyBorder="1" applyAlignment="1">
      <s:alignment horizontal="center" vertical="center" wrapText="1" mc:Ignorable="vyd"/>
    </s:xf>
    <s:xf numFmtId="168" fontId="0" fillId="0" borderId="0" xfId="0" applyNumberFormat="1"/>
    <s:xf numFmtId="0" fontId="5" fillId="0" borderId="2" xfId="0" applyFont="1" applyBorder="1" applyAlignment="1">
      <s:alignment horizontal="left" vertical="center" mc:Ignorable="vyd"/>
    </s:xf>
    <s:xf numFmtId="0" fontId="5" fillId="0" borderId="6" xfId="0" applyFont="1" applyBorder="1" applyAlignment="1">
      <s:alignment horizontal="left" vertical="center" mc:Ignorable="vyd"/>
    </s:xf>
    <s:xf numFmtId="44" fontId="4" fillId="0" borderId="8" xfId="2" applyFont="1" applyBorder="1" applyAlignment="1">
      <s:alignment horizontal="right" vertical="center" mc:Ignorable="vyd"/>
    </s:xf>
    <s:xf numFmtId="0" fontId="0" fillId="0" borderId="8" xfId="0" applyBorder="1"/>
    <s:xf numFmtId="0" fontId="5" fillId="0" borderId="11" xfId="0" applyFont="1" applyBorder="1" applyAlignment="1">
      <s:alignment horizontal="left" vertical="center" mc:Ignorable="vyd"/>
    </s:xf>
    <s:xf numFmtId="0" fontId="5" fillId="0" borderId="23" xfId="0" applyFont="1" applyBorder="1" applyAlignment="1">
      <s:alignment horizontal="left" vertical="center" mc:Ignorable="vyd"/>
    </s:xf>
    <s:xf numFmtId="0" fontId="5" fillId="0" borderId="26" xfId="0" applyFont="1" applyBorder="1" applyAlignment="1">
      <s:alignment horizontal="left" vertical="center" mc:Ignorable="vyd"/>
    </s:xf>
    <s:xf numFmtId="44" fontId="5" fillId="0" borderId="24" xfId="2" applyFont="1" applyBorder="1" applyAlignment="1">
      <s:alignment horizontal="right" vertical="center" mc:Ignorable="vyd"/>
    </s:xf>
    <s:xf numFmtId="0" fontId="0" fillId="0" borderId="3" xfId="0" applyBorder="1" applyAlignment="1">
      <s:alignment horizontal="center" vertical="center" mc:Ignorable="vyd"/>
    </s:xf>
    <s:xf numFmtId="0" fontId="0" fillId="0" borderId="12" xfId="0" applyBorder="1" applyAlignment="1">
      <s:alignment horizontal="center" vertical="center" mc:Ignorable="vyd"/>
    </s:xf>
    <s:xf numFmtId="44" fontId="4" fillId="0" borderId="4" xfId="2" applyFont="1" applyBorder="1" applyAlignment="1">
      <s:alignment horizontal="right" vertical="center" mc:Ignorable="vyd"/>
    </s:xf>
    <s:xf numFmtId="44" fontId="4" fillId="0" borderId="13" xfId="2" applyFont="1" applyBorder="1" applyAlignment="1">
      <s:alignment horizontal="right" vertical="center" mc:Ignorable="vyd"/>
    </s:xf>
    <s:xf numFmtId="0" fontId="5" fillId="0" borderId="7" xfId="0" applyFont="1" applyBorder="1" applyAlignment="1">
      <s:alignment horizontal="center" vertical="center" mc:Ignorable="vyd"/>
    </s:xf>
    <s:xf numFmtId="0" fontId="5" fillId="0" borderId="41" xfId="0" applyFont="1" applyBorder="1" applyAlignment="1">
      <s:alignment horizontal="left" vertical="center" mc:Ignorable="vyd"/>
    </s:xf>
    <s:xf numFmtId="0" fontId="5" fillId="0" borderId="42" xfId="0" applyFont="1" applyBorder="1" applyAlignment="1">
      <s:alignment horizontal="center" vertical="center" mc:Ignorable="vyd"/>
    </s:xf>
    <s:xf numFmtId="165" fontId="10" fillId="0" borderId="42" xfId="1" applyNumberFormat="1" applyFont="1" applyFill="1" applyBorder="1" applyAlignment="1" applyProtection="1">
      <s:alignment horizontal="center" vertical="center" mc:Ignorable="vyd"/>
    </s:xf>
    <s:xf numFmtId="165" fontId="10" fillId="0" borderId="43" xfId="1" applyNumberFormat="1" applyFont="1" applyFill="1" applyBorder="1" applyAlignment="1" applyProtection="1">
      <s:alignment horizontal="center" vertical="center" mc:Ignorable="vyd"/>
    </s:xf>
    <s:xf numFmtId="168" fontId="5" fillId="0" borderId="9" xfId="2" applyNumberFormat="1" applyFont="1" applyBorder="1" applyAlignment="1">
      <s:alignment horizontal="center" vertical="center" mc:Ignorable="vyd"/>
    </s:xf>
    <s:xf numFmtId="168" fontId="5" fillId="0" borderId="7" xfId="2" applyNumberFormat="1" applyFont="1" applyBorder="1" applyAlignment="1">
      <s:alignment horizontal="center" vertical="center" mc:Ignorable="vyd"/>
    </s:xf>
    <s:xf numFmtId="168" fontId="5" fillId="0" borderId="10" xfId="2" applyNumberFormat="1" applyFont="1" applyBorder="1" applyAlignment="1">
      <s:alignment horizontal="center" vertical="center" mc:Ignorable="vyd"/>
    </s:xf>
    <s:xf numFmtId="168" fontId="5" fillId="0" borderId="6" xfId="2" applyNumberFormat="1" applyFont="1" applyBorder="1" applyAlignment="1">
      <s:alignment horizontal="center" vertical="center" mc:Ignorable="vyd"/>
    </s:xf>
    <s:xf numFmtId="168" fontId="5" fillId="0" borderId="8" xfId="2" applyNumberFormat="1" applyFont="1" applyBorder="1" applyAlignment="1">
      <s:alignment horizontal="center" vertical="center" mc:Ignorable="vyd"/>
    </s:xf>
    <s:xf numFmtId="168" fontId="5" fillId="0" borderId="2" xfId="2" applyNumberFormat="1" applyFont="1" applyBorder="1" applyAlignment="1">
      <s:alignment horizontal="center" vertical="center" mc:Ignorable="vyd"/>
    </s:xf>
    <s:xf numFmtId="168" fontId="5" fillId="0" borderId="3" xfId="2" applyNumberFormat="1" applyFont="1" applyBorder="1" applyAlignment="1">
      <s:alignment horizontal="center" vertical="center" mc:Ignorable="vyd"/>
    </s:xf>
    <s:xf numFmtId="168" fontId="5" fillId="0" borderId="4" xfId="2" applyNumberFormat="1" applyFont="1" applyBorder="1" applyAlignment="1">
      <s:alignment horizontal="center" vertical="center" mc:Ignorable="vyd"/>
    </s:xf>
    <s:xf numFmtId="168" fontId="5" fillId="0" borderId="5" xfId="2" applyNumberFormat="1" applyFont="1" applyBorder="1" applyAlignment="1">
      <s:alignment horizontal="center" vertical="center" mc:Ignorable="vyd"/>
    </s:xf>
    <s:xf numFmtId="168" fontId="5" fillId="0" borderId="15" xfId="2" applyNumberFormat="1" applyFont="1" applyBorder="1" applyAlignment="1">
      <s:alignment horizontal="center" vertical="center" mc:Ignorable="vyd"/>
    </s:xf>
    <s:xf numFmtId="168" fontId="5" fillId="0" borderId="11" xfId="2" applyNumberFormat="1" applyFont="1" applyBorder="1" applyAlignment="1">
      <s:alignment horizontal="center" vertical="center" mc:Ignorable="vyd"/>
    </s:xf>
    <s:xf numFmtId="168" fontId="5" fillId="0" borderId="12" xfId="2" applyNumberFormat="1" applyFont="1" applyBorder="1" applyAlignment="1">
      <s:alignment horizontal="center" vertical="center" mc:Ignorable="vyd"/>
    </s:xf>
    <s:xf numFmtId="168" fontId="5" fillId="0" borderId="13" xfId="2" applyNumberFormat="1" applyFont="1" applyBorder="1" applyAlignment="1">
      <s:alignment horizontal="center" vertical="center" mc:Ignorable="vyd"/>
    </s:xf>
    <s:xf numFmtId="168" fontId="5" fillId="0" borderId="14" xfId="2" applyNumberFormat="1" applyFont="1" applyBorder="1" applyAlignment="1">
      <s:alignment horizontal="center" vertical="center" mc:Ignorable="vyd"/>
    </s:xf>
    <s:xf numFmtId="168" fontId="5" fillId="0" borderId="16" xfId="2" applyNumberFormat="1" applyFont="1" applyBorder="1" applyAlignment="1">
      <s:alignment horizontal="center" vertical="center" mc:Ignorable="vyd"/>
    </s:xf>
    <s:xf numFmtId="168" fontId="5" fillId="0" borderId="38" xfId="2" applyNumberFormat="1" applyFont="1" applyBorder="1" applyAlignment="1">
      <s:alignment horizontal="center" vertical="center" mc:Ignorable="vyd"/>
    </s:xf>
    <s:xf numFmtId="168" fontId="5" fillId="0" borderId="39" xfId="2" applyNumberFormat="1" applyFont="1" applyBorder="1" applyAlignment="1">
      <s:alignment horizontal="center" vertical="center" mc:Ignorable="vyd"/>
    </s:xf>
    <s:xf numFmtId="168" fontId="5" fillId="0" borderId="40" xfId="2" applyNumberFormat="1" applyFont="1" applyBorder="1" applyAlignment="1">
      <s:alignment horizontal="center" vertical="center" mc:Ignorable="vyd"/>
    </s:xf>
    <s:xf numFmtId="164" fontId="12" fillId="0" borderId="0" xfId="0" applyNumberFormat="1" applyFont="1" applyAlignment="1" applyProtection="1">
      <s:alignment horizontal="center" vertical="center" mc:Ignorable="vyd"/>
      <s:protection locked="0"/>
    </s:xf>
    <s:xf numFmtId="166" fontId="9" fillId="3" borderId="5" xfId="0" applyNumberFormat="1" applyFont="1" applyFill="1" applyBorder="1" applyAlignment="1">
      <s:alignment horizontal="center" vertical="center" mc:Ignorable="vyd"/>
    </s:xf>
    <s:xf numFmtId="166" fontId="9" fillId="3" borderId="3" xfId="0" applyNumberFormat="1" applyFont="1" applyFill="1" applyBorder="1" applyAlignment="1">
      <s:alignment horizontal="center" vertical="center" mc:Ignorable="vyd"/>
    </s:xf>
    <s:xf numFmtId="166" fontId="9" fillId="3" borderId="15" xfId="0" applyNumberFormat="1" applyFont="1" applyFill="1" applyBorder="1" applyAlignment="1">
      <s:alignment horizontal="center" vertical="center" mc:Ignorable="vyd"/>
    </s:xf>
    <s:xf numFmtId="166" fontId="9" fillId="3" borderId="2" xfId="0" applyNumberFormat="1" applyFont="1" applyFill="1" applyBorder="1" applyAlignment="1">
      <s:alignment horizontal="center" vertical="center" mc:Ignorable="vyd"/>
    </s:xf>
    <s:xf numFmtId="166" fontId="9" fillId="3" borderId="4" xfId="0" applyNumberFormat="1" applyFont="1" applyFill="1" applyBorder="1" applyAlignment="1">
      <s:alignment horizontal="center" vertical="center" mc:Ignorable="vyd"/>
    </s:xf>
    <s:xf numFmtId="165" fontId="10" fillId="11" borderId="17" xfId="1" applyNumberFormat="1" applyFont="1" applyFill="1" applyBorder="1" applyAlignment="1" applyProtection="1">
      <s:alignment horizontal="center" vertical="center" mc:Ignorable="vyd"/>
    </s:xf>
    <s:xf numFmtId="165" fontId="10" fillId="11" borderId="18" xfId="1" applyNumberFormat="1" applyFont="1" applyFill="1" applyBorder="1" applyAlignment="1" applyProtection="1">
      <s:alignment horizontal="center" vertical="center" mc:Ignorable="vyd"/>
    </s:xf>
    <s:xf numFmtId="165" fontId="10" fillId="11" borderId="44" xfId="1" applyNumberFormat="1" applyFont="1" applyFill="1" applyBorder="1" applyAlignment="1" applyProtection="1">
      <s:alignment horizontal="center" vertical="center" mc:Ignorable="vyd"/>
    </s:xf>
    <s:xf numFmtId="165" fontId="10" fillId="11" borderId="29" xfId="1" applyNumberFormat="1" applyFont="1" applyFill="1" applyBorder="1" applyAlignment="1" applyProtection="1">
      <s:alignment horizontal="center" vertical="center" mc:Ignorable="vyd"/>
    </s:xf>
    <s:xf numFmtId="165" fontId="10" fillId="11" borderId="27" xfId="1" applyNumberFormat="1" applyFont="1" applyFill="1" applyBorder="1" applyAlignment="1" applyProtection="1">
      <s:alignment horizontal="center" vertical="center" mc:Ignorable="vyd"/>
    </s:xf>
    <s:xf numFmtId="165" fontId="10" fillId="11" borderId="30" xfId="1" applyNumberFormat="1" applyFont="1" applyFill="1" applyBorder="1" applyAlignment="1" applyProtection="1">
      <s:alignment horizontal="center" vertical="center" mc:Ignorable="vyd"/>
    </s:xf>
    <s:xf numFmtId="0" fontId="5" fillId="15" borderId="23" xfId="0" applyFont="1" applyFill="1" applyBorder="1" applyAlignment="1">
      <s:alignment horizontal="left" vertical="center" mc:Ignorable="vyd"/>
    </s:xf>
    <s:xf numFmtId="0" fontId="5" fillId="15" borderId="7" xfId="0" applyFont="1" applyFill="1" applyBorder="1" applyAlignment="1">
      <s:alignment horizontal="center" vertical="center" mc:Ignorable="vyd"/>
    </s:xf>
    <s:xf numFmtId="0" fontId="5" fillId="15" borderId="26" xfId="0" applyFont="1" applyFill="1" applyBorder="1" applyAlignment="1">
      <s:alignment horizontal="left" vertical="center" mc:Ignorable="vyd"/>
    </s:xf>
    <s:xf numFmtId="44" fontId="5" fillId="15" borderId="24" xfId="2" applyFont="1" applyFill="1" applyBorder="1" applyAlignment="1">
      <s:alignment horizontal="right" vertical="center" mc:Ignorable="vyd"/>
    </s:xf>
    <s:xf numFmtId="1" fontId="10" fillId="0" borderId="6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7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8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9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10" xfId="0" applyNumberFormat="1" applyFont="1" applyBorder="1" applyAlignment="1" applyProtection="1">
      <s:alignment horizontal="center" vertical="center" mc:Ignorable="vyd"/>
      <s:protection locked="0"/>
    </s:xf>
    <s:xf numFmtId="1" fontId="10" fillId="14" borderId="8" xfId="0" applyNumberFormat="1" applyFont="1" applyFill="1" applyBorder="1" applyAlignment="1" applyProtection="1">
      <s:alignment horizontal="center" vertical="center" mc:Ignorable="vyd"/>
      <s:protection locked="0"/>
    </s:xf>
    <s:xf numFmtId="1" fontId="10" fillId="14" borderId="9" xfId="0" applyNumberFormat="1" applyFont="1" applyFill="1" applyBorder="1" applyAlignment="1" applyProtection="1">
      <s:alignment horizontal="center" vertical="center" mc:Ignorable="vyd"/>
      <s:protection locked="0"/>
    </s:xf>
    <s:xf numFmtId="1" fontId="10" fillId="14" borderId="7" xfId="0" applyNumberFormat="1" applyFont="1" applyFill="1" applyBorder="1" applyAlignment="1" applyProtection="1">
      <s:alignment horizontal="center" vertical="center" mc:Ignorable="vyd"/>
      <s:protection locked="0"/>
    </s:xf>
    <s:xf numFmtId="1" fontId="10" fillId="14" borderId="10" xfId="0" applyNumberFormat="1" applyFont="1" applyFill="1" applyBorder="1" applyAlignment="1" applyProtection="1">
      <s:alignment horizontal="center" vertical="center" mc:Ignorable="vyd"/>
      <s:protection locked="0"/>
    </s:xf>
    <s:xf numFmtId="1" fontId="10" fillId="14" borderId="6" xfId="0" applyNumberFormat="1" applyFont="1" applyFill="1" applyBorder="1" applyAlignment="1" applyProtection="1">
      <s:alignment horizontal="center" vertical="center" mc:Ignorable="vyd"/>
      <s:protection locked="0"/>
    </s:xf>
    <s:xf numFmtId="2" fontId="10" fillId="0" borderId="7" xfId="0" applyNumberFormat="1" applyFont="1" applyBorder="1" applyAlignment="1" applyProtection="1">
      <s:alignment horizontal="center" vertical="center" mc:Ignorable="vyd"/>
      <s:protection locked="0"/>
    </s:xf>
    <s:xf numFmtId="1" fontId="10" fillId="9" borderId="10" xfId="0" applyNumberFormat="1" applyFont="1" applyFill="1" applyBorder="1" applyAlignment="1" applyProtection="1">
      <s:alignment horizontal="center" vertical="center" mc:Ignorable="vyd"/>
      <s:protection locked="0"/>
    </s:xf>
    <s:xf numFmtId="0" fontId="5" fillId="0" borderId="41" xfId="0" applyFont="1" applyBorder="1" applyAlignment="1">
      <s:alignment horizontal="left" vertical="center" wrapText="1" vyd:clipText="0" mc:Ignorable="vyd"/>
    </s:xf>
    <s:xf numFmtId="168" fontId="5" fillId="0" borderId="45" xfId="2" applyNumberFormat="1" applyFont="1" applyBorder="1" applyAlignment="1">
      <s:alignment horizontal="center" vertical="center" mc:Ignorable="vyd"/>
    </s:xf>
    <s:xf numFmtId="168" fontId="5" fillId="0" borderId="46" xfId="2" applyNumberFormat="1" applyFont="1" applyBorder="1" applyAlignment="1">
      <s:alignment horizontal="center" vertical="center" mc:Ignorable="vyd"/>
    </s:xf>
    <s:xf numFmtId="168" fontId="5" fillId="0" borderId="47" xfId="2" applyNumberFormat="1" applyFont="1" applyBorder="1" applyAlignment="1">
      <s:alignment horizontal="center" vertical="center" mc:Ignorable="vyd"/>
    </s:xf>
    <s:xf numFmtId="0" fontId="20" fillId="0" borderId="7" xfId="0" applyFont="1" applyBorder="1" applyAlignment="1">
      <s:alignment horizontal="center" vertical="center" mc:Ignorable="vyd"/>
    </s:xf>
    <s:xf numFmtId="0" fontId="0" fillId="0" borderId="7" xfId="0" applyFont="1" applyBorder="1" applyAlignment="1">
      <s:alignment horizontal="center" vertical="center" mc:Ignorable="vyd"/>
    </s:xf>
    <s:xf numFmtId="0" fontId="21" fillId="9" borderId="7" xfId="0" applyFont="1" applyFill="1" applyBorder="1" applyAlignment="1" applyProtection="1">
      <s:alignment horizontal="left" vertical="center" mc:Ignorable="vyd"/>
      <s:protection locked="0"/>
    </s:xf>
    <s:xf numFmtId="0" fontId="22" fillId="9" borderId="7" xfId="0" applyFont="1" applyFill="1" applyBorder="1" applyAlignment="1" applyProtection="1">
      <s:alignment horizontal="left" vertical="center" mc:Ignorable="vyd"/>
      <s:protection locked="0"/>
    </s:xf>
    <s:xf numFmtId="0" fontId="10" fillId="9" borderId="7" xfId="0" applyNumberFormat="1" applyFont="1" applyFill="1" applyBorder="1" applyAlignment="1" applyProtection="1">
      <s:alignment horizontal="left" vertical="center" mc:Ignorable="vyd"/>
      <s:protection locked="0"/>
    </s:xf>
    <s:xf numFmtId="1" fontId="23" fillId="0" borderId="9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14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16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11" xfId="0" applyNumberFormat="1" applyFont="1" applyBorder="1" applyAlignment="1" applyProtection="1">
      <s:alignment horizontal="center" vertical="center" mc:Ignorable="vyd"/>
      <s:protection locked="0"/>
    </s:xf>
    <s:xf numFmtId="1" fontId="10" fillId="0" borderId="13" xfId="0" applyNumberFormat="1" applyFont="1" applyBorder="1" applyAlignment="1" applyProtection="1">
      <s:alignment horizontal="center" vertical="center" mc:Ignorable="vyd"/>
      <s:protection locked="0"/>
    </s:xf>
    <s:xf numFmtId="1" fontId="10" fillId="6" borderId="16" xfId="1" applyNumberFormat="1" applyFont="1" applyFill="1" applyBorder="1" applyAlignment="1" applyProtection="1">
      <s:alignment horizontal="center" vertical="center" mc:Ignorable="vyd"/>
    </s:xf>
    <s:xf numFmtId="0" fontId="10" fillId="7" borderId="29" xfId="0" applyNumberFormat="1" applyFont="1" applyFill="1" applyBorder="1" applyAlignment="1">
      <s:alignment horizontal="center" vertical="center" mc:Ignorable="vyd"/>
    </s:xf>
    <s:xf numFmtId="0" fontId="4" fillId="0" borderId="6" xfId="0" applyNumberFormat="1" applyFont="1" applyBorder="1" applyAlignment="1">
      <s:alignment horizontal="center" vertical="center" mc:Ignorable="vyd"/>
    </s:xf>
    <s:xf numFmtId="0" fontId="4" fillId="0" borderId="23" xfId="0" applyNumberFormat="1" applyFont="1" applyBorder="1" applyAlignment="1">
      <s:alignment horizontal="center" vertical="center" mc:Ignorable="vyd"/>
    </s:xf>
    <s:xf numFmtId="3" fontId="10" fillId="0" borderId="14" xfId="0" applyNumberFormat="1" applyFont="1" applyBorder="1" applyAlignment="1" applyProtection="1">
      <s:alignment horizontal="center" vertical="center" mc:Ignorable="vyd"/>
      <s:protection locked="0"/>
    </s:xf>
    <s:xf numFmtId="49" fontId="24" fillId="10" borderId="0" xfId="0" applyNumberFormat="1" applyFont="1" applyFill="1" applyAlignment="1">
      <s:alignment horizontal="center" vertical="center" mc:Ignorable="vyd"/>
    </s:xf>
    <s:xf numFmtId="0" fontId="10" fillId="8" borderId="6" xfId="0" applyFont="1" applyFill="1" applyBorder="1" applyAlignment="1">
      <s:alignment horizontal="center" vertical="center" mc:Ignorable="vyd"/>
    </s:xf>
    <s:xf numFmtId="0" fontId="25" fillId="0" borderId="0" xfId="0" applyFont="1"/>
    <s:xf fontId="26" applyFont="1"/>
    <s:xf numFmtId="0" fontId="23" fillId="8" borderId="6" xfId="0" applyFont="1" applyFill="1" applyBorder="1" applyAlignment="1">
      <s:alignment horizontal="center" vertical="center" mc:Ignorable="vyd"/>
    </s:xf>
    <s:xf numFmtId="0" fontId="23" fillId="9" borderId="7" xfId="0" applyFont="1" applyFill="1" applyBorder="1" applyAlignment="1" applyProtection="1">
      <s:alignment horizontal="left" vertical="center" mc:Ignorable="vyd"/>
      <s:protection locked="0"/>
    </s:xf>
    <s:xf numFmtId="0" fontId="23" fillId="9" borderId="8" xfId="0" applyFont="1" applyFill="1" applyBorder="1" applyAlignment="1" applyProtection="1">
      <s:alignment horizontal="center" vertical="center" mc:Ignorable="vyd"/>
      <s:protection locked="0"/>
    </s:xf>
    <s:xf numFmtId="0" fontId="23" fillId="9" borderId="9" xfId="0" applyFont="1" applyFill="1" applyBorder="1" applyAlignment="1" applyProtection="1">
      <s:alignment horizontal="center" vertical="center" mc:Ignorable="vyd"/>
      <s:protection locked="0"/>
    </s:xf>
    <s:xf numFmtId="0" fontId="23" fillId="9" borderId="7" xfId="0" applyFont="1" applyFill="1" applyBorder="1" applyAlignment="1" applyProtection="1">
      <s:alignment horizontal="center" vertical="center" mc:Ignorable="vyd"/>
      <s:protection locked="0"/>
    </s:xf>
    <s:xf numFmtId="167" fontId="23" fillId="9" borderId="10" xfId="0" applyNumberFormat="1" applyFont="1" applyFill="1" applyBorder="1" applyAlignment="1" applyProtection="1">
      <s:alignment horizontal="center" vertical="center" mc:Ignorable="vyd"/>
      <s:protection locked="0"/>
    </s:xf>
    <s:xf numFmtId="167" fontId="23" fillId="0" borderId="6" xfId="0" applyNumberFormat="1" applyFont="1" applyBorder="1" applyAlignment="1" applyProtection="1">
      <s:alignment horizontal="center" vertical="center" mc:Ignorable="vyd"/>
      <s:protection locked="0"/>
    </s:xf>
    <s:xf numFmtId="167" fontId="23" fillId="0" borderId="7" xfId="0" applyNumberFormat="1" applyFont="1" applyBorder="1" applyAlignment="1" applyProtection="1">
      <s:alignment horizontal="center" vertical="center" mc:Ignorable="vyd"/>
      <s:protection locked="0"/>
    </s:xf>
    <s:xf numFmtId="167" fontId="23" fillId="0" borderId="8" xfId="0" applyNumberFormat="1" applyFont="1" applyBorder="1" applyAlignment="1" applyProtection="1">
      <s:alignment horizontal="center" vertical="center" mc:Ignorable="vyd"/>
      <s:protection locked="0"/>
    </s:xf>
    <s:xf numFmtId="167" fontId="23" fillId="0" borderId="9" xfId="0" applyNumberFormat="1" applyFont="1" applyBorder="1" applyAlignment="1" applyProtection="1">
      <s:alignment horizontal="center" vertical="center" mc:Ignorable="vyd"/>
      <s:protection locked="0"/>
    </s:xf>
    <s:xf numFmtId="167" fontId="23" fillId="0" borderId="10" xfId="0" applyNumberFormat="1" applyFont="1" applyBorder="1" applyAlignment="1" applyProtection="1">
      <s:alignment horizontal="center" vertical="center" mc:Ignorable="vyd"/>
      <s:protection locked="0"/>
    </s:xf>
    <s:xf numFmtId="1" fontId="23" fillId="0" borderId="7" xfId="0" applyNumberFormat="1" applyFont="1" applyBorder="1" applyAlignment="1" applyProtection="1">
      <s:alignment horizontal="center" vertical="center" mc:Ignorable="vyd"/>
      <s:protection locked="0"/>
    </s:xf>
    <s:xf numFmtId="1" fontId="23" fillId="0" borderId="8" xfId="0" applyNumberFormat="1" applyFont="1" applyBorder="1" applyAlignment="1" applyProtection="1">
      <s:alignment horizontal="center" vertical="center" mc:Ignorable="vyd"/>
      <s:protection locked="0"/>
    </s:xf>
    <s:xf numFmtId="165" fontId="23" fillId="0" borderId="6" xfId="1" applyNumberFormat="1" applyFont="1" applyBorder="1" applyAlignment="1" applyProtection="1">
      <s:alignment horizontal="center" vertical="center" mc:Ignorable="vyd"/>
    </s:xf>
    <s:xf numFmtId="165" fontId="23" fillId="0" borderId="7" xfId="1" applyNumberFormat="1" applyFont="1" applyBorder="1" applyAlignment="1" applyProtection="1">
      <s:alignment horizontal="center" vertical="center" mc:Ignorable="vyd"/>
    </s:xf>
    <s:xf numFmtId="165" fontId="23" fillId="6" borderId="10" xfId="1" applyNumberFormat="1" applyFont="1" applyFill="1" applyBorder="1" applyAlignment="1" applyProtection="1">
      <s:alignment horizontal="center" vertical="center" mc:Ignorable="vyd"/>
    </s:xf>
    <s:xf numFmtId="165" fontId="23" fillId="6" borderId="6" xfId="1" applyNumberFormat="1" applyFont="1" applyFill="1" applyBorder="1" applyAlignment="1" applyProtection="1">
      <s:alignment horizontal="center" vertical="center" mc:Ignorable="vyd"/>
    </s:xf>
    <s:xf numFmtId="165" fontId="23" fillId="6" borderId="8" xfId="1" applyNumberFormat="1" applyFont="1" applyFill="1" applyBorder="1" applyAlignment="1" applyProtection="1">
      <s:alignment horizontal="center" vertical="center" mc:Ignorable="vyd"/>
    </s:xf>
    <s:xf numFmtId="0" fontId="27" fillId="0" borderId="0" xfId="0" applyFont="1"/>
    <s:xf fontId="28" applyFont="1"/>
  </s:cellXfs>
  <s:cellStyles count="3">
    <s:cellStyle name="Денежный" xfId="2" builtinId="4"/>
    <s:cellStyle name="Обычный" xfId="0" builtinId="0"/>
    <s:cellStyle name="Финансовый" xfId="1" builtinId="3"/>
  </s:cellStyles>
  <s:dxfs count="173">
    <s:dxf>
      <s:font>
        <s:color theme="1"/>
      </s:font>
      <s:fill>
        <s:patternFill patternType="none"/>
      </s:fill>
    </s:dxf>
    <s:dxf>
      <s:font>
        <s:color rgb="FF00B050"/>
      </s:font>
    </s:dxf>
    <s:dxf>
      <s:font>
        <s:color indexed="2"/>
      </s:font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theme="5" tint="0.6"/>
          <s:bgColor theme="5" tint="0.6"/>
        </s:patternFill>
      </s:fill>
    </s:dxf>
    <s:dxf>
      <s:fill>
        <s:patternFill patternType="solid">
          <s:fgColor theme="5" tint="0.6"/>
          <s:bgColor theme="5" tint="0.6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theme="0"/>
          <s:bgColor theme="0"/>
        </s:patternFill>
      </s:fill>
    </s:dxf>
    <s:dxf>
      <s:fill>
        <s:patternFill patternType="solid">
          <s:fgColor theme="0"/>
          <s:bgColor theme="0"/>
        </s:patternFill>
      </s:fill>
    </s:dxf>
    <s:dxf>
      <s:fill>
        <s:patternFill patternType="solid">
          <s:fgColor theme="5" tint="0.6"/>
          <s:bgColor theme="5" tint="0.6"/>
        </s:patternFill>
      </s:fill>
    </s:dxf>
    <s:dxf>
      <s:font>
        <s:color theme="1"/>
      </s:font>
      <s:fill>
        <s:patternFill patternType="none"/>
      </s:fill>
    </s:dxf>
    <s:dxf>
      <s:font>
        <s:color rgb="FF00B050"/>
      </s:font>
    </s:dxf>
    <s:dxf>
      <s:font>
        <s:color indexed="2"/>
      </s:font>
    </s:dxf>
    <s:dxf>
      <s:fill>
        <s:patternFill patternType="solid">
          <s:fgColor theme="7" tint="0.8"/>
          <s:bgColor theme="7" tint="0.8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theme="5" tint="0.6"/>
          <s:bgColor theme="5" tint="0.6"/>
        </s:patternFill>
      </s:fill>
    </s:dxf>
    <s:dxf>
      <s:fill>
        <s:patternFill patternType="solid">
          <s:fgColor theme="5" tint="0.6"/>
          <s:bgColor theme="5" tint="0.6"/>
        </s:patternFill>
      </s:fill>
    </s:dxf>
    <s:dxf>
      <s:fill>
        <s:patternFill patternType="solid">
          <s:fgColor rgb="FFFF7C80"/>
          <s:bgColor rgb="FFFF7C80"/>
        </s:patternFill>
      </s:fill>
    </s:dxf>
    <s:dxf>
      <s:fill>
        <s:patternFill patternType="solid">
          <s:fgColor theme="9" tint="0.4"/>
          <s:bgColor theme="9" tint="0.4"/>
        </s:patternFill>
      </s:fill>
    </s:dxf>
    <s:dxf>
      <s:fill>
        <s:patternFill patternType="solid">
          <s:fgColor theme="0"/>
          <s:bgColor theme="0"/>
        </s:patternFill>
      </s:fill>
    </s:dxf>
    <s:dxf>
      <s:fill>
        <s:patternFill patternType="solid">
          <s:fgColor theme="0"/>
          <s:bgColor theme="0"/>
        </s:patternFill>
      </s:fill>
    </s:dxf>
    <s:dxf>
      <s:fill>
        <s:patternFill patternType="solid">
          <s:fgColor theme="5" tint="0.6"/>
          <s:bgColor theme="5" tint="0.6"/>
        </s:patternFill>
      </s:fill>
    </s:dxf>
    <s:dxf>
      <s:fill>
        <s:patternFill patternType="solid">
          <s:fgColor theme="7" tint="0.8"/>
          <s:bgColor theme="7" tint="0.8"/>
        </s:patternFill>
      </s:fill>
    </s:dxf>
    <s:dxf>
      <s:fill>
        <s:patternFill patternType="solid">
          <s:fgColor rgb="FFFFF2CC"/>
          <s:bgColor rgb="FFFFF2CC"/>
        </s:patternFill>
      </s:fill>
    </s:dxf>
    <s:dxf>
      <s:fill>
        <s:patternFill patternType="solid">
          <s:fgColor rgb="FFF8CBAD"/>
          <s:bgColor rgb="FFF8CBAD"/>
        </s:patternFill>
      </s:fill>
    </s:dxf>
    <s:dxf>
      <s:fill>
        <s:patternFill patternType="solid">
          <s:fgColor rgb="FFFFFFFF"/>
          <s:bgColor rgb="FFFFFFFF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tyles" Target="styles.xml"/><Relationship Target="theme/theme1.xml" Type="http://schemas.openxmlformats.org/officeDocument/2006/relationships/theme" Id="rId8"/><Relationship Target="sharedStrings.xml" Type="http://schemas.openxmlformats.org/officeDocument/2006/relationships/sharedStrings" Id="rId9"/><Relationship Target="persons/person.xml" Type="http://schemas.microsoft.com/office/2017/10/relationships/person" Id="rId10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/Relationships>
</file>

<file path=xl/persons/person.xml><?xml version="1.0" encoding="utf-8"?>
<sc:personList xmlns:sc="http://schemas.microsoft.com/office/spreadsheetml/2018/threadedcomments">
  <sc:person displayName="tc={C541A5C0-28D4-3C92-64D3-81D4C8857B53}" id="{C47138AB-9987-4B79-8A3D-4CB5805B1ABE}" providerId="None"/>
  <sc:person displayName="Mi" id="{D1EC4211-2F0F-4F65-914D-FC86C39FD165}" providerId="None"/>
</sc:personList>
</file>

<file path=xl/theme/theme1.xml><?xml version="1.0" encoding="utf-8"?>
<a:theme xmlns:a="http://schemas.openxmlformats.org/drawingml/2006/main" xmlns:thm15="http://schemas.microsoft.com/office/thememl/2012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2013 - 2022 Theme" id="{62F939B6-93AF-4DB8-9C6B-D6C7DFDC589F}" vid="{4A3C46E8-61CC-4603-A589-7422A47A8E4A}"/>
    </a:ext>
  </a:extLst>
</a:theme>
</file>

<file path=xl/threadedComments/threadedComment1.xml><?xml version="1.0" encoding="utf-8"?>
<sc:ThreadedComments xmlns:sc="http://schemas.microsoft.com/office/spreadsheetml/2018/threadedcomments">
  <sc:threadedComment ref="AY1" personId="{C47138AB-9987-4B79-8A3D-4CB5805B1ABE}" id="{89501AA4-2449-4F5A-9051-9A95F04480A9}">
    <sc:text>tc={308F22EC-08A2-D51A-0513-CF2DF04D53E6}:
tc={F24A4845-86A9-1F3B-3E0B-D330B81B5CE7}:
Максим Гарбузов:
Название месяца изменяем датой в формате 01.ХХ.2025
</sc:text>
  </sc:threadedComment>
  <sc:threadedComment ref="C2" personId="{D1EC4211-2F0F-4F65-914D-FC86C39FD165}" id="{08CCBB2B-AD19-45AA-AE05-7CFE68986C38}">
    <sc:text>Да - 22%
Нет - 0 (в цене номера)
Налич - оплата наличными</sc:text>
  </sc:threadedComment>
</sc:ThreadedComments>
</file>

<file path=xl/threadedComments/threadedComment2.xml><?xml version="1.0" encoding="utf-8"?>
<sc:ThreadedComments xmlns:sc="http://schemas.microsoft.com/office/spreadsheetml/2018/threadedcomments">
  <sc:threadedComment ref="AY1" personId="{C47138AB-9987-4B79-8A3D-4CB5805B1ABE}" id="{77BAF57F-27FC-48F3-80EB-A6A07DDA0DCA}">
    <sc:text>tc={308F22EC-08A2-D51A-0513-CF2DF04D53E6}:
tc={F24A4845-86A9-1F3B-3E0B-D330B81B5CE7}:
Максим Гарбузов:
Название месяца изменяем датой в формате 01.ХХ.2025
</sc:text>
  </sc:threadedComment>
  <sc:threadedComment ref="C2" personId="{D1EC4211-2F0F-4F65-914D-FC86C39FD165}" id="{AD617957-AE28-4FFD-A3E0-5C1BC7B5031B}">
    <sc:text>Да - 22%
Нет - 0 (в цене номера)
Налич - оплата наличными</sc:text>
  </sc:threadedComment>
</sc:ThreadedComments>
</file>

<file path=xl/threadedComments/threadedComment3.xml><?xml version="1.0" encoding="utf-8"?>
<sc:ThreadedComments xmlns:sc="http://schemas.microsoft.com/office/spreadsheetml/2018/threadedcomments">
  <sc:threadedComment ref="AY1" personId="{C47138AB-9987-4B79-8A3D-4CB5805B1ABE}" id="{6B10659F-3306-4804-98B9-BE596DEC011A}">
    <sc:text>tc={308F22EC-08A2-D51A-0513-CF2DF04D53E6}:
tc={F24A4845-86A9-1F3B-3E0B-D330B81B5CE7}:
Максим Гарбузов:
Название месяца изменяем датой в формате 01.ХХ.2025
</sc:text>
  </sc:threadedComment>
  <sc:threadedComment ref="C2" personId="{D1EC4211-2F0F-4F65-914D-FC86C39FD165}" id="{49E1D66C-A100-44BE-BD0C-2106F63022A2}">
    <sc:text>Да - 22%
Нет - 0 (в цене номера)
Налич - оплата наличными</sc:text>
  </sc:threadedComment>
</sc:ThreadedComments>
</file>

<file path=xl/threadedComments/threadedComment4.xml><?xml version="1.0" encoding="utf-8"?>
<sc:ThreadedComments xmlns:sc="http://schemas.microsoft.com/office/spreadsheetml/2018/threadedcomments">
  <sc:threadedComment ref="AY1" personId="{C47138AB-9987-4B79-8A3D-4CB5805B1ABE}" id="{0469DDC4-2076-4656-9C7A-89E872439362}">
    <sc:text>tc={308F22EC-08A2-D51A-0513-CF2DF04D53E6}:
tc={F24A4845-86A9-1F3B-3E0B-D330B81B5CE7}:
Максим Гарбузов:
Название месяца изменяем датой в формате 01.ХХ.2025
</sc:text>
  </sc:threadedComment>
  <sc:threadedComment ref="C2" personId="{D1EC4211-2F0F-4F65-914D-FC86C39FD165}" id="{A761F1A5-5A78-4468-8FC7-DC914054DA86}">
    <sc:text>Да - 22%
Нет - 0 (в цене номера)
Налич - оплата наличными</sc:text>
  </sc:threadedComment>
</sc:ThreadedComments>
</file>

<file path=xl/threadedComments/threadedComment5.xml><?xml version="1.0" encoding="utf-8"?>
<sc:ThreadedComments xmlns:sc="http://schemas.microsoft.com/office/spreadsheetml/2018/threadedcomments">
  <sc:threadedComment ref="AY1" personId="{C47138AB-9987-4B79-8A3D-4CB5805B1ABE}" id="{16F903B2-5DF3-4797-9565-39D74C1ECD44}">
    <sc:text>tc={308F22EC-08A2-D51A-0513-CF2DF04D53E6}:
tc={F24A4845-86A9-1F3B-3E0B-D330B81B5CE7}:
Максим Гарбузов:
Название месяца изменяем датой в формате 01.ХХ.2025
</sc:text>
  </sc:threadedComment>
  <sc:threadedComment ref="C2" personId="{D1EC4211-2F0F-4F65-914D-FC86C39FD165}" id="{D52C58EF-47C7-46C8-AC27-1277D85FFFAD}">
    <sc:text>Да - 22%
Нет - 0 (в цене номера)
Налич - оплата наличными</sc:text>
  </sc:threadedComment>
</sc:ThreadedComments>
</file>

<file path=xl/threadedComments/threadedComment6.xml><?xml version="1.0" encoding="utf-8"?>
<sc:ThreadedComments xmlns:sc="http://schemas.microsoft.com/office/spreadsheetml/2018/threadedcomments">
  <sc:threadedComment ref="AY1" personId="{C47138AB-9987-4B79-8A3D-4CB5805B1ABE}" id="{AACD86BF-1E16-440B-B32D-CE40ACB20D8D}">
    <sc:text>tc={308F22EC-08A2-D51A-0513-CF2DF04D53E6}:
tc={F24A4845-86A9-1F3B-3E0B-D330B81B5CE7}:
Максим Гарбузов:
Название месяца изменяем датой в формате 01.ХХ.2025
</sc:text>
  </sc:threadedComment>
  <sc:threadedComment ref="C2" personId="{D1EC4211-2F0F-4F65-914D-FC86C39FD165}" id="{CC33D45C-495F-48C7-A149-F0E6A84B1CA5}">
    <sc:text>Да - 22%
Нет - 0 (в цене номера)
Налич - оплата наличными</sc:text>
  </sc:threadedComment>
</sc:ThreadedComments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Relationship Target="../drawings/vmlDrawing1.vml" Type="http://schemas.openxmlformats.org/officeDocument/2006/relationships/vmlDrawing" Id="rId2"/><Relationship Target="../threadedComments/threadedComment1.xml" Type="http://schemas.microsoft.com/office/2017/10/relationships/threadedComment" Id="rId3"/><Relationship Target="../comments1.xml" Type="http://schemas.openxmlformats.org/officeDocument/2006/relationships/comments" Id="rId4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Relationship Target="../drawings/vmlDrawing2.vml" Type="http://schemas.openxmlformats.org/officeDocument/2006/relationships/vmlDrawing" Id="rId2"/><Relationship Target="../threadedComments/threadedComment2.xml" Type="http://schemas.microsoft.com/office/2017/10/relationships/threadedComment" Id="rId3"/><Relationship Target="../comments2.xml" Type="http://schemas.openxmlformats.org/officeDocument/2006/relationships/comments" Id="rId4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vmlDrawing3.vml" Type="http://schemas.openxmlformats.org/officeDocument/2006/relationships/vmlDrawing" Id="rId2"/><Relationship Target="../threadedComments/threadedComment3.xml" Type="http://schemas.microsoft.com/office/2017/10/relationships/threadedComment" Id="rId3"/><Relationship Target="../comments3.xml" Type="http://schemas.openxmlformats.org/officeDocument/2006/relationships/comments" Id="rId4"/></Relationships>
</file>

<file path=xl/worksheets/_rels/sheet4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vmlDrawing4.vml" Type="http://schemas.openxmlformats.org/officeDocument/2006/relationships/vmlDrawing" Id="rId2"/><Relationship Target="../threadedComments/threadedComment4.xml" Type="http://schemas.microsoft.com/office/2017/10/relationships/threadedComment" Id="rId3"/><Relationship Target="../comments4.xml" Type="http://schemas.openxmlformats.org/officeDocument/2006/relationships/comments" Id="rId4"/></Relationships>
</file>

<file path=xl/worksheets/_rels/sheet5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vmlDrawing5.vml" Type="http://schemas.openxmlformats.org/officeDocument/2006/relationships/vmlDrawing" Id="rId2"/><Relationship Target="../threadedComments/threadedComment5.xml" Type="http://schemas.microsoft.com/office/2017/10/relationships/threadedComment" Id="rId3"/><Relationship Target="../comments5.xml" Type="http://schemas.openxmlformats.org/officeDocument/2006/relationships/comments" Id="rId4"/></Relationships>
</file>

<file path=xl/worksheets/_rels/sheet6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vmlDrawing6.vml" Type="http://schemas.openxmlformats.org/officeDocument/2006/relationships/vmlDrawing" Id="rId2"/><Relationship Target="../threadedComments/threadedComment6.xml" Type="http://schemas.microsoft.com/office/2017/10/relationships/threadedComment" Id="rId3"/><Relationship Target="../comments6.xml" Type="http://schemas.openxmlformats.org/officeDocument/2006/relationships/comments" Id="rId4"/></Relationships>
</file>

<file path=xl/worksheets/sheet1.xml><?xml version="1.0" encoding="utf-8"?>
<s:worksheet xmlns:xr="http://schemas.microsoft.com/office/spreadsheetml/2014/revision" xmlns:xr3="http://schemas.microsoft.com/office/spreadsheetml/2016/revision3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vyd="http://volga.yandex.com/schemas/document/model" xmlns:x14ac="http://schemas.microsoft.com/office/spreadsheetml/2009/9/ac" mc:Ignorable="x14ac xr xr2 xr3" xr:uid="{2DC1157C-B044-42A7-BA00-628828F04CCD}">
  <s:dimension ref="A1:DC57"/>
  <s:sheetViews>
    <s:sheetView tabSelected="0" zoomScale="50" zoomScaleNormal="50" workbookViewId="0">
      <s:pane xSplit="3" topLeftCell="CG1" activePane="topRight" state="frozen"/>
      <s:selection pane="topRight" activeCell="CY50" sqref="CY50"/>
    </s:sheetView>
  </s:sheetViews>
  <s:sheetFormatPr x14ac:dyDescent="0.3" defaultColWidth="10" defaultRowHeight="14.4"/>
  <s:cols>
    <s:col min="1" max="1" width="7.332" bestFit="1" customWidth="1"/>
    <s:col min="2" max="2" width="45.441" customWidth="1"/>
    <s:col min="3" max="3" width="15.332" style="4" customWidth="1"/>
    <s:col min="4" max="4" width="7.887" style="4" customWidth="1"/>
    <s:col min="5" max="96" width="6.441" style="4" customWidth="1"/>
    <s:col min="97" max="97" width="10.109" style="4" bestFit="1" customWidth="1"/>
    <s:col min="98" max="99" width="11" style="4" customWidth="1"/>
    <s:col min="100" max="100" width="19.887" style="4" customWidth="1"/>
    <s:col min="101" max="101" width="19.664" style="4" bestFit="1" customWidth="1"/>
    <s:col min="102" max="102" width="18.555" style="4" customWidth="1"/>
    <s:col min="103" max="103" width="19.109" customWidth="1"/>
    <s:col min="104" max="104" width="12.664" customWidth="1"/>
    <s:col min="106" max="107" width="10.332" bestFit="1" customWidth="1"/>
  </s:cols>
  <s:sheetData>
    <s:row r="1" ht="29.25">
      <s:c r="A1" s="5" t="s">
        <s:v>0</s:v>
      </s:c>
      <s:c r="B1" s="66" t="s">
        <s:v>27</s:v>
      </s:c>
      <s:c r="C1" s="6"/>
      <s:c r="D1" s="123" t="s">
        <s:v>53</s:v>
      </s:c>
      <s:c r="E1" s="6"/>
      <s:c r="F1" s="57"/>
      <s:c r="G1" s="123" t="s">
        <s:v>54</s:v>
      </s:c>
      <s:c r="H1" s="57"/>
      <s:c r="I1" s="57"/>
      <s:c r="J1" s="123" t="s">
        <s:v>55</s:v>
      </s:c>
      <s:c r="K1" s="57"/>
      <s:c r="L1" s="57"/>
      <s:c r="M1" s="57"/>
      <s:c r="N1" s="57"/>
      <s:c r="O1" s="57"/>
      <s:c r="P1" s="57"/>
      <s:c r="Q1" s="57"/>
      <s:c r="R1" s="57"/>
      <s:c r="S1" s="57"/>
      <s:c r="T1" s="57"/>
      <s:c r="U1" s="57"/>
      <s:c r="V1" s="57"/>
      <s:c r="W1" s="57"/>
      <s:c r="X1" s="57"/>
      <s:c r="Y1" s="57"/>
      <s:c r="Z1" s="57"/>
      <s:c r="AA1" s="57"/>
      <s:c r="AB1" s="57"/>
      <s:c r="AC1" s="57"/>
      <s:c r="AD1" s="57"/>
      <s:c r="AE1" s="57"/>
      <s:c r="AF1" s="57"/>
      <s:c r="AG1" s="58"/>
      <s:c r="AH1" s="58"/>
      <s:c r="AI1" s="58"/>
      <s:c r="AJ1" s="57"/>
      <s:c r="AK1" s="57"/>
      <s:c r="AL1" s="57"/>
      <s:c r="AM1" s="57"/>
      <s:c r="AN1" s="57"/>
      <s:c r="AO1" s="57"/>
      <s:c r="AP1" s="57"/>
      <s:c r="AQ1" s="57"/>
      <s:c r="AR1" s="57"/>
      <s:c r="AS1" s="57" t="s">
        <s:v>1</s:v>
      </s:c>
      <s:c r="AT1" s="57"/>
      <s:c r="AU1" s="57"/>
      <s:c r="AV1" s="57"/>
      <s:c r="AW1" s="57"/>
      <s:c r="AX1" s="57"/>
      <s:c r="AY1" s="164">
        <s:v>45962</s:v>
      </s:c>
      <s:c r="AZ1" s="164"/>
      <s:c r="BA1" s="164"/>
      <s:c r="BB1" s="164"/>
      <s:c r="BC1" s="164"/>
      <s:c r="BD1" s="164"/>
      <s:c r="BE1" s="164"/>
      <s:c r="BF1" s="164"/>
      <s:c r="BG1" s="164"/>
      <s:c r="BH1" s="164"/>
      <s:c r="BI1" s="59"/>
      <s:c r="BJ1" s="59"/>
      <s:c r="BK1" s="57"/>
      <s:c r="BL1" s="57"/>
      <s:c r="BM1" s="57"/>
      <s:c r="BN1" s="57"/>
      <s:c r="BO1" s="57"/>
      <s:c r="BP1" s="57"/>
      <s:c r="BQ1" s="57"/>
      <s:c r="BR1" s="57"/>
      <s:c r="BS1" s="57"/>
      <s:c r="BT1" s="57"/>
      <s:c r="BU1" s="57"/>
      <s:c r="BV1" s="57"/>
      <s:c r="BW1" s="57"/>
      <s:c r="BX1" s="57"/>
      <s:c r="BY1" s="57"/>
      <s:c r="BZ1" s="57"/>
      <s:c r="CA1" s="57"/>
      <s:c r="CB1" s="57"/>
      <s:c r="CC1" s="57"/>
      <s:c r="CD1" s="57"/>
      <s:c r="CE1" s="57"/>
      <s:c r="CF1" s="57"/>
      <s:c r="CG1" s="57"/>
      <s:c r="CH1" s="57"/>
      <s:c r="CI1" s="57"/>
      <s:c r="CJ1" s="57"/>
      <s:c r="CK1" s="57"/>
      <s:c r="CL1" s="57"/>
      <s:c r="CM1" s="57"/>
      <s:c r="CN1" s="57"/>
      <s:c r="CO1" s="57"/>
      <s:c r="CP1" s="57"/>
      <s:c r="CQ1" s="57"/>
      <s:c r="CR1" s="57"/>
      <s:c r="CS1" s="57"/>
      <s:c r="CT1" s="57"/>
      <s:c r="CU1" s="57"/>
      <s:c r="CV1" s="60"/>
      <s:c r="CW1" s="61"/>
      <s:c r="CX1" s="61"/>
    </s:row>
    <s:row r="2" ht="84">
      <s:c r="A2" s="7" t="s">
        <s:v>2</s:v>
      </s:c>
      <s:c r="B2" s="8" t="s">
        <s:v>4</s:v>
      </s:c>
      <s:c r="C2" s="126" t="s">
        <s:v>9</s:v>
      </s:c>
      <s:c r="D2" s="165">
        <s:f>IF(AY1&lt;&gt;0,AY1,"")</s:f>
        <s:v>45962</s:v>
      </s:c>
      <s:c r="E2" s="166"/>
      <s:c r="F2" s="167"/>
      <s:c r="G2" s="168">
        <s:f>IF(D2="","",D2+1)</s:f>
        <s:v>45963</s:v>
      </s:c>
      <s:c r="H2" s="166"/>
      <s:c r="I2" s="169"/>
      <s:c r="J2" s="165">
        <s:f>IF(G2="","",G2+1)</s:f>
        <s:v>45964</s:v>
      </s:c>
      <s:c r="K2" s="166"/>
      <s:c r="L2" s="167"/>
      <s:c r="M2" s="168">
        <s:f>IF(J2="","",J2+1)</s:f>
        <s:v>45965</s:v>
      </s:c>
      <s:c r="N2" s="166"/>
      <s:c r="O2" s="169"/>
      <s:c r="P2" s="165">
        <s:f>IF(M2="","",M2+1)</s:f>
        <s:v>45966</s:v>
      </s:c>
      <s:c r="Q2" s="166"/>
      <s:c r="R2" s="167"/>
      <s:c r="S2" s="168">
        <s:f>IF(P2="","",P2+1)</s:f>
        <s:v>45967</s:v>
      </s:c>
      <s:c r="T2" s="166"/>
      <s:c r="U2" s="169"/>
      <s:c r="V2" s="165">
        <s:f>IF(S2="","",S2+1)</s:f>
        <s:v>45968</s:v>
      </s:c>
      <s:c r="W2" s="166"/>
      <s:c r="X2" s="167"/>
      <s:c r="Y2" s="168">
        <s:f>IF(V2="","",V2+1)</s:f>
        <s:v>45969</s:v>
      </s:c>
      <s:c r="Z2" s="166"/>
      <s:c r="AA2" s="169"/>
      <s:c r="AB2" s="165">
        <s:f>IF(Y2="","",Y2+1)</s:f>
        <s:v>45970</s:v>
      </s:c>
      <s:c r="AC2" s="166"/>
      <s:c r="AD2" s="167"/>
      <s:c r="AE2" s="168">
        <s:f>IF(AB2="","",AB2+1)</s:f>
        <s:v>45971</s:v>
      </s:c>
      <s:c r="AF2" s="166"/>
      <s:c r="AG2" s="169"/>
      <s:c r="AH2" s="165">
        <s:f>IF(AE2="","",AE2+1)</s:f>
        <s:v>45972</s:v>
      </s:c>
      <s:c r="AI2" s="166"/>
      <s:c r="AJ2" s="167"/>
      <s:c r="AK2" s="168">
        <s:f>IF(AH2="","",AH2+1)</s:f>
        <s:v>45973</s:v>
      </s:c>
      <s:c r="AL2" s="166"/>
      <s:c r="AM2" s="169"/>
      <s:c r="AN2" s="165">
        <s:f>IF(AK2="","",AK2+1)</s:f>
        <s:v>45974</s:v>
      </s:c>
      <s:c r="AO2" s="166"/>
      <s:c r="AP2" s="167"/>
      <s:c r="AQ2" s="168">
        <s:f>IF(AN2="","",AN2+1)</s:f>
        <s:v>45975</s:v>
      </s:c>
      <s:c r="AR2" s="166"/>
      <s:c r="AS2" s="169"/>
      <s:c r="AT2" s="165">
        <s:f>IF(AQ2="","",AQ2+1)</s:f>
        <s:v>45976</s:v>
      </s:c>
      <s:c r="AU2" s="166"/>
      <s:c r="AV2" s="167"/>
      <s:c r="AW2" s="168">
        <s:f>IF(AT2="","",AT2+1)</s:f>
        <s:v>45977</s:v>
      </s:c>
      <s:c r="AX2" s="166"/>
      <s:c r="AY2" s="169"/>
      <s:c r="AZ2" s="165">
        <s:f>IF(AW2="","",AW2+1)</s:f>
        <s:v>45978</s:v>
      </s:c>
      <s:c r="BA2" s="166"/>
      <s:c r="BB2" s="167"/>
      <s:c r="BC2" s="168">
        <s:f>IF(AZ2="","",AZ2+1)</s:f>
        <s:v>45979</s:v>
      </s:c>
      <s:c r="BD2" s="166"/>
      <s:c r="BE2" s="169"/>
      <s:c r="BF2" s="165">
        <s:f>IF(BC2="","",BC2+1)</s:f>
        <s:v>45980</s:v>
      </s:c>
      <s:c r="BG2" s="166"/>
      <s:c r="BH2" s="167"/>
      <s:c r="BI2" s="168">
        <s:f>IF(BF2="","",BF2+1)</s:f>
        <s:v>45981</s:v>
      </s:c>
      <s:c r="BJ2" s="166"/>
      <s:c r="BK2" s="169"/>
      <s:c r="BL2" s="165">
        <s:f>IF(BI2="","",BI2+1)</s:f>
        <s:v>45982</s:v>
      </s:c>
      <s:c r="BM2" s="166"/>
      <s:c r="BN2" s="167"/>
      <s:c r="BO2" s="168">
        <s:f>IF(BL2="","",BL2+1)</s:f>
        <s:v>45983</s:v>
      </s:c>
      <s:c r="BP2" s="166"/>
      <s:c r="BQ2" s="169"/>
      <s:c r="BR2" s="165">
        <s:f>IF(BO2="","",BO2+1)</s:f>
        <s:v>45984</s:v>
      </s:c>
      <s:c r="BS2" s="166"/>
      <s:c r="BT2" s="167"/>
      <s:c r="BU2" s="168">
        <s:f>IF(BR2="","",BR2+1)</s:f>
        <s:v>45985</s:v>
      </s:c>
      <s:c r="BV2" s="166"/>
      <s:c r="BW2" s="169"/>
      <s:c r="BX2" s="165">
        <s:f>IF(BU2="","",BU2+1)</s:f>
        <s:v>45986</s:v>
      </s:c>
      <s:c r="BY2" s="166"/>
      <s:c r="BZ2" s="167"/>
      <s:c r="CA2" s="168">
        <s:f>IF(BX2="","",BX2+1)</s:f>
        <s:v>45987</s:v>
      </s:c>
      <s:c r="CB2" s="166"/>
      <s:c r="CC2" s="169"/>
      <s:c r="CD2" s="165">
        <s:f>IF(CA2="","",CA2+1)</s:f>
        <s:v>45988</s:v>
      </s:c>
      <s:c r="CE2" s="166"/>
      <s:c r="CF2" s="167"/>
      <s:c r="CG2" s="168">
        <s:f>IF(CD2="","",IF(CD2+1&gt;EOMONTH($AY$1,0),"",CD2+1))</s:f>
        <s:v>45989</s:v>
      </s:c>
      <s:c r="CH2" s="166"/>
      <s:c r="CI2" s="169"/>
      <s:c r="CJ2" s="165">
        <s:f>IF(CG2="","",IF(CG2+1&gt;EOMONTH($AY$1,0),"",CG2+1))</s:f>
        <s:v>45990</s:v>
      </s:c>
      <s:c r="CK2" s="166"/>
      <s:c r="CL2" s="167"/>
      <s:c r="CM2" s="168">
        <s:f>IF(CJ2="","",IF(CJ2+1&gt;EOMONTH($AY$1,0),"",CJ2+1))</s:f>
        <s:v>45991</s:v>
      </s:c>
      <s:c r="CN2" s="166"/>
      <s:c r="CO2" s="169"/>
      <s:c r="CP2" s="165" t="str">
        <s:f>IF(CM2="","",IF(CM2+1&gt;EOMONTH($AY$1,0),"",CM2+1))</s:f>
        <s:v/>
      </s:c>
      <s:c r="CQ2" s="166"/>
      <s:c r="CR2" s="167"/>
      <s:c r="CS2" s="9" t="s">
        <s:v>23</s:v>
      </s:c>
      <s:c r="CT2" s="10" t="s">
        <s:v>24</s:v>
      </s:c>
      <s:c r="CU2" s="10" t="s">
        <s:v>25</s:v>
      </s:c>
      <s:c r="CV2" s="11" t="s">
        <s:v>3</s:v>
      </s:c>
      <s:c r="CW2" s="12" t="s">
        <s:v>85</s:v>
      </s:c>
      <s:c r="CX2" s="13" t="s">
        <s:v>86</s:v>
      </s:c>
      <s:c r="CY2" s="13" t="s">
        <s:v>29</s:v>
      </s:c>
    </s:row>
    <s:row r="3" ht="21">
      <s:c r="A3" s="14"/>
      <s:c r="B3" s="15" t="s">
        <s:v>8</s:v>
      </s:c>
      <s:c r="C3" s="127" t="s">
        <s:v>60</s:v>
      </s:c>
      <s:c r="D3" s="16" t="s">
        <s:v>10</s:v>
      </s:c>
      <s:c r="E3" s="15" t="s">
        <s:v>11</s:v>
      </s:c>
      <s:c r="F3" s="17" t="s">
        <s:v>12</s:v>
      </s:c>
      <s:c r="G3" s="14" t="s">
        <s:v>10</s:v>
      </s:c>
      <s:c r="H3" s="15" t="s">
        <s:v>11</s:v>
      </s:c>
      <s:c r="I3" s="78" t="s">
        <s:v>12</s:v>
      </s:c>
      <s:c r="J3" s="16" t="s">
        <s:v>10</s:v>
      </s:c>
      <s:c r="K3" s="15" t="s">
        <s:v>11</s:v>
      </s:c>
      <s:c r="L3" s="17" t="s">
        <s:v>12</s:v>
      </s:c>
      <s:c r="M3" s="14" t="s">
        <s:v>10</s:v>
      </s:c>
      <s:c r="N3" s="15" t="s">
        <s:v>11</s:v>
      </s:c>
      <s:c r="O3" s="78" t="s">
        <s:v>12</s:v>
      </s:c>
      <s:c r="P3" s="16" t="s">
        <s:v>10</s:v>
      </s:c>
      <s:c r="Q3" s="15" t="s">
        <s:v>11</s:v>
      </s:c>
      <s:c r="R3" s="17" t="s">
        <s:v>12</s:v>
      </s:c>
      <s:c r="S3" s="14" t="s">
        <s:v>10</s:v>
      </s:c>
      <s:c r="T3" s="15" t="s">
        <s:v>11</s:v>
      </s:c>
      <s:c r="U3" s="78" t="s">
        <s:v>12</s:v>
      </s:c>
      <s:c r="V3" s="16" t="s">
        <s:v>10</s:v>
      </s:c>
      <s:c r="W3" s="15" t="s">
        <s:v>11</s:v>
      </s:c>
      <s:c r="X3" s="17" t="s">
        <s:v>12</s:v>
      </s:c>
      <s:c r="Y3" s="14" t="s">
        <s:v>10</s:v>
      </s:c>
      <s:c r="Z3" s="15" t="s">
        <s:v>11</s:v>
      </s:c>
      <s:c r="AA3" s="78" t="s">
        <s:v>12</s:v>
      </s:c>
      <s:c r="AB3" s="16" t="s">
        <s:v>10</s:v>
      </s:c>
      <s:c r="AC3" s="15" t="s">
        <s:v>11</s:v>
      </s:c>
      <s:c r="AD3" s="17" t="s">
        <s:v>12</s:v>
      </s:c>
      <s:c r="AE3" s="14" t="s">
        <s:v>10</s:v>
      </s:c>
      <s:c r="AF3" s="15" t="s">
        <s:v>11</s:v>
      </s:c>
      <s:c r="AG3" s="78" t="s">
        <s:v>12</s:v>
      </s:c>
      <s:c r="AH3" s="16" t="s">
        <s:v>10</s:v>
      </s:c>
      <s:c r="AI3" s="15" t="s">
        <s:v>11</s:v>
      </s:c>
      <s:c r="AJ3" s="17" t="s">
        <s:v>12</s:v>
      </s:c>
      <s:c r="AK3" s="14" t="s">
        <s:v>10</s:v>
      </s:c>
      <s:c r="AL3" s="15" t="s">
        <s:v>11</s:v>
      </s:c>
      <s:c r="AM3" s="78" t="s">
        <s:v>12</s:v>
      </s:c>
      <s:c r="AN3" s="16" t="s">
        <s:v>10</s:v>
      </s:c>
      <s:c r="AO3" s="15" t="s">
        <s:v>11</s:v>
      </s:c>
      <s:c r="AP3" s="17" t="s">
        <s:v>12</s:v>
      </s:c>
      <s:c r="AQ3" s="14" t="s">
        <s:v>10</s:v>
      </s:c>
      <s:c r="AR3" s="15" t="s">
        <s:v>11</s:v>
      </s:c>
      <s:c r="AS3" s="78" t="s">
        <s:v>12</s:v>
      </s:c>
      <s:c r="AT3" s="16" t="s">
        <s:v>10</s:v>
      </s:c>
      <s:c r="AU3" s="15" t="s">
        <s:v>11</s:v>
      </s:c>
      <s:c r="AV3" s="17" t="s">
        <s:v>12</s:v>
      </s:c>
      <s:c r="AW3" s="14" t="s">
        <s:v>10</s:v>
      </s:c>
      <s:c r="AX3" s="15" t="s">
        <s:v>11</s:v>
      </s:c>
      <s:c r="AY3" s="78" t="s">
        <s:v>12</s:v>
      </s:c>
      <s:c r="AZ3" s="16" t="s">
        <s:v>10</s:v>
      </s:c>
      <s:c r="BA3" s="15" t="s">
        <s:v>11</s:v>
      </s:c>
      <s:c r="BB3" s="17" t="s">
        <s:v>12</s:v>
      </s:c>
      <s:c r="BC3" s="14" t="s">
        <s:v>10</s:v>
      </s:c>
      <s:c r="BD3" s="15" t="s">
        <s:v>11</s:v>
      </s:c>
      <s:c r="BE3" s="78" t="s">
        <s:v>12</s:v>
      </s:c>
      <s:c r="BF3" s="16" t="s">
        <s:v>10</s:v>
      </s:c>
      <s:c r="BG3" s="15" t="s">
        <s:v>11</s:v>
      </s:c>
      <s:c r="BH3" s="17" t="s">
        <s:v>12</s:v>
      </s:c>
      <s:c r="BI3" s="14" t="s">
        <s:v>10</s:v>
      </s:c>
      <s:c r="BJ3" s="15" t="s">
        <s:v>11</s:v>
      </s:c>
      <s:c r="BK3" s="78" t="s">
        <s:v>12</s:v>
      </s:c>
      <s:c r="BL3" s="16" t="s">
        <s:v>10</s:v>
      </s:c>
      <s:c r="BM3" s="15" t="s">
        <s:v>11</s:v>
      </s:c>
      <s:c r="BN3" s="17" t="s">
        <s:v>12</s:v>
      </s:c>
      <s:c r="BO3" s="14" t="s">
        <s:v>10</s:v>
      </s:c>
      <s:c r="BP3" s="15" t="s">
        <s:v>11</s:v>
      </s:c>
      <s:c r="BQ3" s="78" t="s">
        <s:v>12</s:v>
      </s:c>
      <s:c r="BR3" s="16" t="s">
        <s:v>10</s:v>
      </s:c>
      <s:c r="BS3" s="15" t="s">
        <s:v>11</s:v>
      </s:c>
      <s:c r="BT3" s="17" t="s">
        <s:v>12</s:v>
      </s:c>
      <s:c r="BU3" s="14" t="s">
        <s:v>10</s:v>
      </s:c>
      <s:c r="BV3" s="15" t="s">
        <s:v>11</s:v>
      </s:c>
      <s:c r="BW3" s="78" t="s">
        <s:v>12</s:v>
      </s:c>
      <s:c r="BX3" s="16" t="s">
        <s:v>10</s:v>
      </s:c>
      <s:c r="BY3" s="15" t="s">
        <s:v>11</s:v>
      </s:c>
      <s:c r="BZ3" s="17" t="s">
        <s:v>12</s:v>
      </s:c>
      <s:c r="CA3" s="14" t="s">
        <s:v>10</s:v>
      </s:c>
      <s:c r="CB3" s="15" t="s">
        <s:v>11</s:v>
      </s:c>
      <s:c r="CC3" s="78" t="s">
        <s:v>12</s:v>
      </s:c>
      <s:c r="CD3" s="16" t="s">
        <s:v>10</s:v>
      </s:c>
      <s:c r="CE3" s="15" t="s">
        <s:v>11</s:v>
      </s:c>
      <s:c r="CF3" s="17" t="s">
        <s:v>12</s:v>
      </s:c>
      <s:c r="CG3" s="14" t="s">
        <s:v>10</s:v>
      </s:c>
      <s:c r="CH3" s="15" t="s">
        <s:v>11</s:v>
      </s:c>
      <s:c r="CI3" s="78" t="s">
        <s:v>12</s:v>
      </s:c>
      <s:c r="CJ3" s="16" t="s">
        <s:v>10</s:v>
      </s:c>
      <s:c r="CK3" s="15" t="s">
        <s:v>11</s:v>
      </s:c>
      <s:c r="CL3" s="17" t="s">
        <s:v>12</s:v>
      </s:c>
      <s:c r="CM3" s="14" t="s">
        <s:v>10</s:v>
      </s:c>
      <s:c r="CN3" s="15" t="s">
        <s:v>11</s:v>
      </s:c>
      <s:c r="CO3" s="78" t="s">
        <s:v>12</s:v>
      </s:c>
      <s:c r="CP3" s="16" t="s">
        <s:v>10</s:v>
      </s:c>
      <s:c r="CQ3" s="15" t="s">
        <s:v>11</s:v>
      </s:c>
      <s:c r="CR3" s="17" t="s">
        <s:v>12</s:v>
      </s:c>
      <s:c r="CS3" s="18" t="s">
        <s:v>10</s:v>
      </s:c>
      <s:c r="CT3" s="19" t="s">
        <s:v>11</s:v>
      </s:c>
      <s:c r="CU3" s="19" t="s">
        <s:v>12</s:v>
      </s:c>
      <s:c r="CV3" s="20"/>
      <s:c r="CW3" s="21"/>
      <s:c r="CX3" s="22"/>
      <s:c r="CY3" s="22"/>
    </s:row>
    <s:row r="4" ht="21.75">
      <s:c r="A4" s="23">
        <s:f>IF(B4="","",COUNTA($B$4:B4))</s:f>
        <s:v>1</s:v>
      </s:c>
      <s:c r="B4" s="24" t="s">
        <s:v>93</s:v>
      </s:c>
      <s:c r="C4" s="25" t="s">
        <s:v>18</s:v>
      </s:c>
      <s:c r="D4" s="49"/>
      <s:c r="E4" s="50"/>
      <s:c r="F4" s="74"/>
      <s:c r="G4" s="79"/>
      <s:c r="H4" s="26"/>
      <s:c r="I4" s="80"/>
      <s:c r="J4" s="76"/>
      <s:c r="K4" s="26"/>
      <s:c r="L4" s="27"/>
      <s:c r="M4" s="79"/>
      <s:c r="N4" s="26"/>
      <s:c r="O4" s="80"/>
      <s:c r="P4" s="76"/>
      <s:c r="Q4" s="26"/>
      <s:c r="R4" s="27"/>
      <s:c r="S4" s="180">
        <s:v>2</s:v>
      </s:c>
      <s:c r="T4" s="26"/>
      <s:c r="U4" s="80"/>
      <s:c r="V4" s="76"/>
      <s:c r="W4" s="26"/>
      <s:c r="X4" s="27"/>
      <s:c r="Y4" s="79"/>
      <s:c r="Z4" s="26"/>
      <s:c r="AA4" s="80"/>
      <s:c r="AB4" s="76"/>
      <s:c r="AC4" s="26"/>
      <s:c r="AD4" s="27"/>
      <s:c r="AE4" s="79"/>
      <s:c r="AF4" s="26"/>
      <s:c r="AG4" s="80"/>
      <s:c r="AH4" s="183"/>
      <s:c r="AI4" s="26"/>
      <s:c r="AJ4" s="27"/>
      <s:c r="AK4" s="79"/>
      <s:c r="AL4" s="26"/>
      <s:c r="AM4" s="80"/>
      <s:c r="AN4" s="76"/>
      <s:c r="AO4" s="26"/>
      <s:c r="AP4" s="27"/>
      <s:c r="AQ4" s="79"/>
      <s:c r="AR4" s="26"/>
      <s:c r="AS4" s="80"/>
      <s:c r="AT4" s="76"/>
      <s:c r="AU4" s="26"/>
      <s:c r="AV4" s="27"/>
      <s:c r="AW4" s="79"/>
      <s:c r="AX4" s="26"/>
      <s:c r="AY4" s="80"/>
      <s:c r="AZ4" s="76"/>
      <s:c r="BA4" s="26"/>
      <s:c r="BB4" s="27"/>
      <s:c r="BC4" s="79"/>
      <s:c r="BD4" s="26"/>
      <s:c r="BE4" s="80"/>
      <s:c r="BF4" s="76"/>
      <s:c r="BG4" s="26"/>
      <s:c r="BH4" s="27"/>
      <s:c r="BI4" s="79"/>
      <s:c r="BJ4" s="26"/>
      <s:c r="BK4" s="80"/>
      <s:c r="BL4" s="76"/>
      <s:c r="BM4" s="26"/>
      <s:c r="BN4" s="27"/>
      <s:c r="BO4" s="79"/>
      <s:c r="BP4" s="26"/>
      <s:c r="BQ4" s="80"/>
      <s:c r="BR4" s="76"/>
      <s:c r="BS4" s="26"/>
      <s:c r="BT4" s="27"/>
      <s:c r="BU4" s="79"/>
      <s:c r="BV4" s="26"/>
      <s:c r="BW4" s="80"/>
      <s:c r="BX4" s="76"/>
      <s:c r="BY4" s="26"/>
      <s:c r="BZ4" s="27"/>
      <s:c r="CA4" s="79"/>
      <s:c r="CB4" s="26"/>
      <s:c r="CC4" s="80"/>
      <s:c r="CD4" s="76"/>
      <s:c r="CE4" s="26"/>
      <s:c r="CF4" s="27"/>
      <s:c r="CG4" s="79"/>
      <s:c r="CH4" s="26"/>
      <s:c r="CI4" s="80"/>
      <s:c r="CJ4" s="76"/>
      <s:c r="CK4" s="26"/>
      <s:c r="CL4" s="27"/>
      <s:c r="CM4" s="180">
        <s:v>2</s:v>
      </s:c>
      <s:c r="CN4" s="26"/>
      <s:c r="CO4" s="80"/>
      <s:c r="CP4" s="76"/>
      <s:c r="CQ4" s="26"/>
      <s:c r="CR4" s="27"/>
      <s:c r="CS4" s="62">
        <s:f>SUMIFS(D4:CR4,$D$3:$CR$3,"З")</s:f>
        <s:v>4</s:v>
      </s:c>
      <s:c r="CT4" s="63">
        <s:f>SUMIFS(D4:CR4,$D$3:$CR$3,"О")</s:f>
        <s:v>0</s:v>
      </s:c>
      <s:c r="CU4" s="63">
        <s:f>SUMIFS(D4:CR4,$D$3:$CR$3,"У")</s:f>
        <s:v>0</s:v>
      </s:c>
      <s:c r="CV4" s="28">
        <s:f>IF(C4="Да",CS4*$D$45+CT4*$D$46+CU4*$D$47,CS4*$C$45+CT4*$C$46+CU4*$C$47)</s:f>
        <s:v>3200</s:v>
      </s:c>
      <s:c r="CW4" s="29">
        <s:f>IF(C4="Нет",CV4,"")</s:f>
        <s:v>3200</s:v>
      </s:c>
      <s:c r="CX4" s="30" t="str">
        <s:f>IF(C4="Да",CV4,"")</s:f>
        <s:v/>
      </s:c>
      <s:c r="CY4" s="30" t="str">
        <s:f>IF(C4="Налич",CV4,"")</s:f>
        <s:v/>
      </s:c>
    </s:row>
    <s:row r="5" ht="21.75">
      <s:c r="A5" s="23">
        <s:f>IF(B5="","",COUNTA($B$4:B5))</s:f>
        <s:v>2</s:v>
      </s:c>
      <s:c r="B5" s="31" t="s">
        <s:v>94</s:v>
      </s:c>
      <s:c r="C5" s="32" t="s">
        <s:v>18</s:v>
      </s:c>
      <s:c r="D5" s="51"/>
      <s:c r="E5" s="52"/>
      <s:c r="F5" s="74"/>
      <s:c r="G5" s="79"/>
      <s:c r="H5" s="26"/>
      <s:c r="I5" s="80"/>
      <s:c r="J5" s="76"/>
      <s:c r="K5" s="26"/>
      <s:c r="L5" s="27"/>
      <s:c r="M5" s="79"/>
      <s:c r="N5" s="26"/>
      <s:c r="O5" s="80"/>
      <s:c r="P5" s="76"/>
      <s:c r="Q5" s="26"/>
      <s:c r="R5" s="27"/>
      <s:c r="S5" s="79"/>
      <s:c r="T5" s="26"/>
      <s:c r="U5" s="80"/>
      <s:c r="V5" s="76"/>
      <s:c r="W5" s="26"/>
      <s:c r="X5" s="27"/>
      <s:c r="Y5" s="79"/>
      <s:c r="Z5" s="181">
        <s:v>11</s:v>
      </s:c>
      <s:c r="AA5" s="182">
        <s:v>29</s:v>
      </s:c>
      <s:c r="AB5" s="183">
        <s:v>29</s:v>
      </s:c>
      <s:c r="AC5" s="181">
        <s:v>29</s:v>
      </s:c>
      <s:c r="AD5" s="184">
        <s:v>29</s:v>
      </s:c>
      <s:c r="AE5" s="180">
        <s:v>29</s:v>
      </s:c>
      <s:c r="AF5" s="181">
        <s:v>29</s:v>
      </s:c>
      <s:c r="AG5" s="80"/>
      <s:c r="AH5" s="76"/>
      <s:c r="AI5" s="26"/>
      <s:c r="AJ5" s="27"/>
      <s:c r="AK5" s="79"/>
      <s:c r="AL5" s="26"/>
      <s:c r="AM5" s="80"/>
      <s:c r="AN5" s="76"/>
      <s:c r="AO5" s="26"/>
      <s:c r="AP5" s="27"/>
      <s:c r="AQ5" s="79"/>
      <s:c r="AR5" s="26"/>
      <s:c r="AS5" s="80"/>
      <s:c r="AT5" s="76"/>
      <s:c r="AU5" s="26"/>
      <s:c r="AV5" s="27"/>
      <s:c r="AW5" s="79"/>
      <s:c r="AX5" s="26"/>
      <s:c r="AY5" s="80"/>
      <s:c r="AZ5" s="76"/>
      <s:c r="BA5" s="26"/>
      <s:c r="BB5" s="27"/>
      <s:c r="BC5" s="79"/>
      <s:c r="BD5" s="26"/>
      <s:c r="BE5" s="80"/>
      <s:c r="BF5" s="76"/>
      <s:c r="BG5" s="26"/>
      <s:c r="BH5" s="27"/>
      <s:c r="BI5" s="79"/>
      <s:c r="BJ5" s="26"/>
      <s:c r="BK5" s="80"/>
      <s:c r="BL5" s="76"/>
      <s:c r="BM5" s="26"/>
      <s:c r="BN5" s="27"/>
      <s:c r="BO5" s="79"/>
      <s:c r="BP5" s="26"/>
      <s:c r="BQ5" s="80"/>
      <s:c r="BR5" s="76"/>
      <s:c r="BS5" s="26"/>
      <s:c r="BT5" s="27"/>
      <s:c r="BU5" s="79"/>
      <s:c r="BV5" s="26"/>
      <s:c r="BW5" s="80"/>
      <s:c r="BX5" s="76"/>
      <s:c r="BY5" s="26"/>
      <s:c r="BZ5" s="27"/>
      <s:c r="CA5" s="79"/>
      <s:c r="CB5" s="26"/>
      <s:c r="CC5" s="80"/>
      <s:c r="CD5" s="76"/>
      <s:c r="CE5" s="26"/>
      <s:c r="CF5" s="27"/>
      <s:c r="CG5" s="79"/>
      <s:c r="CH5" s="26"/>
      <s:c r="CI5" s="80"/>
      <s:c r="CJ5" s="76"/>
      <s:c r="CK5" s="26"/>
      <s:c r="CL5" s="27"/>
      <s:c r="CM5" s="79"/>
      <s:c r="CN5" s="26"/>
      <s:c r="CO5" s="80"/>
      <s:c r="CP5" s="76"/>
      <s:c r="CQ5" s="26"/>
      <s:c r="CR5" s="27"/>
      <s:c r="CS5" s="62">
        <s:f>SUMIFS(D5:CR5,$D$3:$CR$3,"З")</s:f>
        <s:v>58</s:v>
      </s:c>
      <s:c r="CT5" s="63">
        <s:f>SUMIFS(D5:CR5,$D$3:$CR$3,"О")</s:f>
        <s:v>69</s:v>
      </s:c>
      <s:c r="CU5" s="63">
        <s:f>SUMIFS(D5:CR5,$D$3:$CR$3,"У")</s:f>
        <s:v>58</s:v>
      </s:c>
      <s:c r="CV5" s="28">
        <s:f>IF(C5="Да",CS5*$D$45+CT5*$D$46+CU5*$D$47,CS5*$C$45+CT5*$C$46+CU5*$C$47)</s:f>
        <s:v>164700</s:v>
      </s:c>
      <s:c r="CW5" s="29">
        <s:f>IF(C5="Нет",CV5,"")</s:f>
        <s:v>164700</s:v>
      </s:c>
      <s:c r="CX5" s="30" t="str">
        <s:f>IF(C5="Да",CV5,"")</s:f>
        <s:v/>
      </s:c>
      <s:c r="CY5" s="30" t="str">
        <s:f>IF(C5="Налич",CV5,"")</s:f>
        <s:v/>
      </s:c>
    </s:row>
    <s:row r="6" ht="21.75">
      <s:c r="A6" s="23">
        <s:f>IF(B6="","",COUNTA($B$4:B6))</s:f>
        <s:v>3</s:v>
      </s:c>
      <s:c r="B6" s="24" t="s">
        <s:v>95</s:v>
      </s:c>
      <s:c r="C6" s="25" t="s">
        <s:v>18</s:v>
      </s:c>
      <s:c r="D6" s="49"/>
      <s:c r="E6" s="50"/>
      <s:c r="F6" s="74"/>
      <s:c r="G6" s="79"/>
      <s:c r="H6" s="26"/>
      <s:c r="I6" s="80"/>
      <s:c r="J6" s="76"/>
      <s:c r="K6" s="26"/>
      <s:c r="L6" s="27"/>
      <s:c r="M6" s="79"/>
      <s:c r="N6" s="26"/>
      <s:c r="O6" s="80"/>
      <s:c r="P6" s="76"/>
      <s:c r="Q6" s="26"/>
      <s:c r="R6" s="27"/>
      <s:c r="S6" s="79"/>
      <s:c r="T6" s="26"/>
      <s:c r="U6" s="80"/>
      <s:c r="V6" s="76"/>
      <s:c r="W6" s="26"/>
      <s:c r="X6" s="27"/>
      <s:c r="Y6" s="79"/>
      <s:c r="Z6" s="26"/>
      <s:c r="AA6" s="80"/>
      <s:c r="AB6" s="76"/>
      <s:c r="AC6" s="181">
        <s:v>3</s:v>
      </s:c>
      <s:c r="AD6" s="184">
        <s:v>3</s:v>
      </s:c>
      <s:c r="AE6" s="180">
        <s:v>3</s:v>
      </s:c>
      <s:c r="AF6" s="181">
        <s:v>3</s:v>
      </s:c>
      <s:c r="AG6" s="182">
        <s:v>3</s:v>
      </s:c>
      <s:c r="AH6" s="183">
        <s:v>3</s:v>
      </s:c>
      <s:c r="AI6" s="181">
        <s:v>3</s:v>
      </s:c>
      <s:c r="AJ6" s="184">
        <s:v>3</s:v>
      </s:c>
      <s:c r="AK6" s="180">
        <s:v>3</s:v>
      </s:c>
      <s:c r="AL6" s="181">
        <s:v>3</s:v>
      </s:c>
      <s:c r="AM6" s="182">
        <s:v>3</s:v>
      </s:c>
      <s:c r="AN6" s="183">
        <s:v>3</s:v>
      </s:c>
      <s:c r="AO6" s="181">
        <s:v>3.4</s:v>
      </s:c>
      <s:c r="AP6" s="184">
        <s:v>4</s:v>
      </s:c>
      <s:c r="AQ6" s="180">
        <s:v>4</s:v>
      </s:c>
      <s:c r="AR6" s="181">
        <s:v>4</s:v>
      </s:c>
      <s:c r="AS6" s="185">
        <s:v>4</s:v>
      </s:c>
      <s:c r="AT6" s="186">
        <s:v>4</s:v>
      </s:c>
      <s:c r="AU6" s="187">
        <s:v>4</s:v>
      </s:c>
      <s:c r="AV6" s="188">
        <s:v>4</s:v>
      </s:c>
      <s:c r="AW6" s="189">
        <s:v>4</s:v>
      </s:c>
      <s:c r="AX6" s="119"/>
      <s:c r="AY6" s="117"/>
      <s:c r="AZ6" s="118"/>
      <s:c r="BA6" s="26"/>
      <s:c r="BB6" s="27"/>
      <s:c r="BC6" s="79"/>
      <s:c r="BD6" s="26"/>
      <s:c r="BE6" s="80"/>
      <s:c r="BF6" s="76"/>
      <s:c r="BG6" s="26"/>
      <s:c r="BH6" s="27"/>
      <s:c r="BI6" s="79"/>
      <s:c r="BJ6" s="26"/>
      <s:c r="BK6" s="80"/>
      <s:c r="BL6" s="76"/>
      <s:c r="BM6" s="26"/>
      <s:c r="BN6" s="27"/>
      <s:c r="BO6" s="79"/>
      <s:c r="BP6" s="26"/>
      <s:c r="BQ6" s="80"/>
      <s:c r="BR6" s="118"/>
      <s:c r="BS6" s="119"/>
      <s:c r="BT6" s="120"/>
      <s:c r="BU6" s="121"/>
      <s:c r="BV6" s="119"/>
      <s:c r="BW6" s="80"/>
      <s:c r="BX6" s="76"/>
      <s:c r="BY6" s="26"/>
      <s:c r="BZ6" s="27"/>
      <s:c r="CA6" s="79"/>
      <s:c r="CB6" s="26"/>
      <s:c r="CC6" s="80"/>
      <s:c r="CD6" s="76"/>
      <s:c r="CE6" s="26"/>
      <s:c r="CF6" s="27"/>
      <s:c r="CG6" s="79"/>
      <s:c r="CH6" s="26"/>
      <s:c r="CI6" s="80"/>
      <s:c r="CJ6" s="76"/>
      <s:c r="CK6" s="26"/>
      <s:c r="CL6" s="27"/>
      <s:c r="CM6" s="79"/>
      <s:c r="CN6" s="26"/>
      <s:c r="CO6" s="80"/>
      <s:c r="CP6" s="76"/>
      <s:c r="CQ6" s="26"/>
      <s:c r="CR6" s="27"/>
      <s:c r="CS6" s="62">
        <s:f>SUMIFS(D6:CR6,$D$3:$CR$3,"З")</s:f>
        <s:v>24</s:v>
      </s:c>
      <s:c r="CT6" s="63">
        <s:f>SUMIFS(D6:CR6,$D$3:$CR$3,"О")</s:f>
        <s:v>23.4</s:v>
      </s:c>
      <s:c r="CU6" s="63">
        <s:f>SUMIFS(D6:CR6,$D$3:$CR$3,"У")</s:f>
        <s:v>24</s:v>
      </s:c>
      <s:c r="CV6" s="28">
        <s:f>IF(C6="Да",CS6*$D$45+CT6*$D$46+CU6*$D$47,CS6*$C$45+CT6*$C$46+CU6*$C$47)</s:f>
        <s:v>63000</s:v>
      </s:c>
      <s:c r="CW6" s="29">
        <s:f>IF(C6="Нет",CV6,"")</s:f>
        <s:v>63000</s:v>
      </s:c>
      <s:c r="CX6" s="30" t="str">
        <s:f>IF(C6="Да",CV6,"")</s:f>
        <s:v/>
      </s:c>
      <s:c r="CY6" s="30" t="str">
        <s:f>IF(C6="Налич",CV6,"")</s:f>
        <s:v/>
      </s:c>
      <s:c r="CZ6" s="122"/>
    </s:row>
    <s:row r="7" ht="21.75">
      <s:c r="A7" s="23">
        <s:v>5</s:v>
      </s:c>
      <s:c r="B7" s="24" t="s">
        <s:v>95</s:v>
      </s:c>
      <s:c r="C7" s="25" t="s">
        <s:v>28</s:v>
      </s:c>
      <s:c r="D7" s="49"/>
      <s:c r="E7" s="50"/>
      <s:c r="F7" s="74"/>
      <s:c r="G7" s="79"/>
      <s:c r="H7" s="26"/>
      <s:c r="I7" s="80"/>
      <s:c r="J7" s="76"/>
      <s:c r="K7" s="26"/>
      <s:c r="L7" s="27"/>
      <s:c r="M7" s="79"/>
      <s:c r="N7" s="26"/>
      <s:c r="O7" s="80"/>
      <s:c r="P7" s="76"/>
      <s:c r="Q7" s="26"/>
      <s:c r="R7" s="27"/>
      <s:c r="S7" s="79"/>
      <s:c r="T7" s="26"/>
      <s:c r="U7" s="80"/>
      <s:c r="V7" s="76"/>
      <s:c r="W7" s="26"/>
      <s:c r="X7" s="27"/>
      <s:c r="Y7" s="79"/>
      <s:c r="Z7" s="26"/>
      <s:c r="AA7" s="80"/>
      <s:c r="AB7" s="76"/>
      <s:c r="AC7" s="181">
        <s:v>4</s:v>
      </s:c>
      <s:c r="AD7" s="184">
        <s:v>4</s:v>
      </s:c>
      <s:c r="AE7" s="180">
        <s:v>4</s:v>
      </s:c>
      <s:c r="AF7" s="181">
        <s:v>4</s:v>
      </s:c>
      <s:c r="AG7" s="182">
        <s:v>4</s:v>
      </s:c>
      <s:c r="AH7" s="183">
        <s:v>4</s:v>
      </s:c>
      <s:c r="AI7" s="181">
        <s:v>4</s:v>
      </s:c>
      <s:c r="AJ7" s="184">
        <s:v>4</s:v>
      </s:c>
      <s:c r="AK7" s="180">
        <s:v>4</s:v>
      </s:c>
      <s:c r="AL7" s="181">
        <s:v>4</s:v>
      </s:c>
      <s:c r="AM7" s="182">
        <s:v>4</s:v>
      </s:c>
      <s:c r="AN7" s="183">
        <s:v>4</s:v>
      </s:c>
      <s:c r="AO7" s="181">
        <s:v>4</s:v>
      </s:c>
      <s:c r="AP7" s="184">
        <s:v>4</s:v>
      </s:c>
      <s:c r="AQ7" s="180">
        <s:v>4</s:v>
      </s:c>
      <s:c r="AR7" s="181">
        <s:v>4</s:v>
      </s:c>
      <s:c r="AS7" s="182">
        <s:v>4</s:v>
      </s:c>
      <s:c r="AT7" s="183">
        <s:v>4</s:v>
      </s:c>
      <s:c r="AU7" s="181">
        <s:v>4</s:v>
      </s:c>
      <s:c r="AV7" s="184">
        <s:v>4</s:v>
      </s:c>
      <s:c r="AW7" s="180">
        <s:v>3.125</s:v>
      </s:c>
      <s:c r="AX7" s="26"/>
      <s:c r="AY7" s="80"/>
      <s:c r="AZ7" s="76"/>
      <s:c r="BA7" s="26"/>
      <s:c r="BB7" s="27"/>
      <s:c r="BC7" s="79"/>
      <s:c r="BD7" s="26"/>
      <s:c r="BE7" s="80"/>
      <s:c r="BF7" s="76"/>
      <s:c r="BG7" s="26"/>
      <s:c r="BH7" s="27"/>
      <s:c r="BI7" s="79"/>
      <s:c r="BJ7" s="26"/>
      <s:c r="BK7" s="80"/>
      <s:c r="BL7" s="76"/>
      <s:c r="BM7" s="26"/>
      <s:c r="BN7" s="27"/>
      <s:c r="BO7" s="79"/>
      <s:c r="BP7" s="26"/>
      <s:c r="BQ7" s="80"/>
      <s:c r="BR7" s="76"/>
      <s:c r="BS7" s="26"/>
      <s:c r="BT7" s="27"/>
      <s:c r="BU7" s="79"/>
      <s:c r="BV7" s="26"/>
      <s:c r="BW7" s="80"/>
      <s:c r="BX7" s="76"/>
      <s:c r="BY7" s="26"/>
      <s:c r="BZ7" s="27"/>
      <s:c r="CA7" s="79"/>
      <s:c r="CB7" s="26"/>
      <s:c r="CC7" s="80"/>
      <s:c r="CD7" s="76"/>
      <s:c r="CE7" s="26"/>
      <s:c r="CF7" s="27"/>
      <s:c r="CG7" s="79"/>
      <s:c r="CH7" s="26"/>
      <s:c r="CI7" s="80"/>
      <s:c r="CJ7" s="76"/>
      <s:c r="CK7" s="26"/>
      <s:c r="CL7" s="27"/>
      <s:c r="CM7" s="79"/>
      <s:c r="CN7" s="26"/>
      <s:c r="CO7" s="80"/>
      <s:c r="CP7" s="76"/>
      <s:c r="CQ7" s="26"/>
      <s:c r="CR7" s="27"/>
      <s:c r="CS7" s="62">
        <s:f>SUMIFS(D7:CR7,$D$3:$CR$3,"З")</s:f>
        <s:v>27.125</s:v>
      </s:c>
      <s:c r="CT7" s="63">
        <s:f>SUMIFS(D7:CR7,$D$3:$CR$3,"О")</s:f>
        <s:v>28</s:v>
      </s:c>
      <s:c r="CU7" s="63">
        <s:f>SUMIFS(D7:CR7,$D$3:$CR$3,"У")</s:f>
        <s:v>28</s:v>
      </s:c>
      <s:c r="CV7" s="28">
        <s:f>IF(C7="Да",CS7*$D$45+CT7*$D$46+CU7*$D$47,CS7*$C$45+CT7*$C$46+CU7*$C$47)</s:f>
        <s:v>73500</s:v>
      </s:c>
      <s:c r="CW7" s="29" t="str">
        <s:f>IF(C7="Нет",CV7,"")</s:f>
        <s:v/>
      </s:c>
      <s:c r="CX7" s="30" t="str">
        <s:f>IF(C7="Да",CV7,"")</s:f>
        <s:v/>
      </s:c>
      <s:c r="CY7" s="30">
        <s:f>IF(C7="Налич",CV7,"")</s:f>
        <s:v>73500</s:v>
      </s:c>
      <s:c r="CZ7" s="122"/>
    </s:row>
    <s:row r="8" ht="21.75">
      <s:c r="A8" s="23">
        <s:v>6</s:v>
      </s:c>
      <s:c r="B8" s="24" t="s">
        <s:v>93</s:v>
      </s:c>
      <s:c r="C8" s="25" t="s">
        <s:v>28</s:v>
      </s:c>
      <s:c r="D8" s="49"/>
      <s:c r="E8" s="50"/>
      <s:c r="F8" s="74"/>
      <s:c r="G8" s="79"/>
      <s:c r="H8" s="26"/>
      <s:c r="I8" s="80"/>
      <s:c r="J8" s="76"/>
      <s:c r="K8" s="26"/>
      <s:c r="L8" s="27"/>
      <s:c r="M8" s="79"/>
      <s:c r="N8" s="26"/>
      <s:c r="O8" s="80"/>
      <s:c r="P8" s="76"/>
      <s:c r="Q8" s="26"/>
      <s:c r="R8" s="27"/>
      <s:c r="S8" s="79"/>
      <s:c r="T8" s="26"/>
      <s:c r="U8" s="80"/>
      <s:c r="V8" s="76"/>
      <s:c r="W8" s="26"/>
      <s:c r="X8" s="27"/>
      <s:c r="Y8" s="79"/>
      <s:c r="Z8" s="26"/>
      <s:c r="AA8" s="80"/>
      <s:c r="AB8" s="76"/>
      <s:c r="AC8" s="26"/>
      <s:c r="AD8" s="27"/>
      <s:c r="AE8" s="79"/>
      <s:c r="AF8" s="26"/>
      <s:c r="AG8" s="80"/>
      <s:c r="AH8" s="183">
        <s:v>3</s:v>
      </s:c>
      <s:c r="AI8" s="26"/>
      <s:c r="AJ8" s="27"/>
      <s:c r="AK8" s="180">
        <s:v>6</s:v>
      </s:c>
      <s:c r="AL8" s="26"/>
      <s:c r="AM8" s="80"/>
      <s:c r="AN8" s="183">
        <s:v>3</s:v>
      </s:c>
      <s:c r="AO8" s="26"/>
      <s:c r="AP8" s="27"/>
      <s:c r="AQ8" s="79"/>
      <s:c r="AR8" s="26"/>
      <s:c r="AS8" s="80"/>
      <s:c r="AT8" s="76"/>
      <s:c r="AU8" s="26"/>
      <s:c r="AV8" s="184">
        <s:v>3</s:v>
      </s:c>
      <s:c r="AW8" s="180">
        <s:v>3</s:v>
      </s:c>
      <s:c r="AX8" s="26"/>
      <s:c r="AY8" s="80"/>
      <s:c r="AZ8" s="76"/>
      <s:c r="BA8" s="26"/>
      <s:c r="BB8" s="27"/>
      <s:c r="BC8" s="79"/>
      <s:c r="BD8" s="26"/>
      <s:c r="BE8" s="80"/>
      <s:c r="BF8" s="76"/>
      <s:c r="BG8" s="26"/>
      <s:c r="BH8" s="27"/>
      <s:c r="BI8" s="79"/>
      <s:c r="BJ8" s="26"/>
      <s:c r="BK8" s="80"/>
      <s:c r="BL8" s="76"/>
      <s:c r="BM8" s="26"/>
      <s:c r="BN8" s="27"/>
      <s:c r="BO8" s="79"/>
      <s:c r="BP8" s="26"/>
      <s:c r="BQ8" s="80"/>
      <s:c r="BR8" s="76"/>
      <s:c r="BS8" s="26"/>
      <s:c r="BT8" s="27"/>
      <s:c r="BU8" s="79"/>
      <s:c r="BV8" s="190"/>
      <s:c r="BW8" s="80"/>
      <s:c r="BX8" s="76"/>
      <s:c r="BY8" s="26"/>
      <s:c r="BZ8" s="27"/>
      <s:c r="CA8" s="180">
        <s:v>1</s:v>
      </s:c>
      <s:c r="CB8" s="26"/>
      <s:c r="CC8" s="80"/>
      <s:c r="CD8" s="76"/>
      <s:c r="CE8" s="26"/>
      <s:c r="CF8" s="27"/>
      <s:c r="CG8" s="79"/>
      <s:c r="CH8" s="190">
        <s:v>2.5</s:v>
      </s:c>
      <s:c r="CI8" s="80"/>
      <s:c r="CJ8" s="76"/>
      <s:c r="CK8" s="26"/>
      <s:c r="CL8" s="27"/>
      <s:c r="CM8" s="79"/>
      <s:c r="CN8" s="26"/>
      <s:c r="CO8" s="80"/>
      <s:c r="CP8" s="76"/>
      <s:c r="CQ8" s="26"/>
      <s:c r="CR8" s="27"/>
      <s:c r="CS8" s="62">
        <s:f>SUMIFS(D8:CR8,$D$3:$CR$3,"З")</s:f>
        <s:v>16</s:v>
      </s:c>
      <s:c r="CT8" s="63">
        <s:f>SUMIFS(D8:CR8,$D$3:$CR$3,"О")</s:f>
        <s:v>2.5</s:v>
      </s:c>
      <s:c r="CU8" s="63">
        <s:f>SUMIFS(D8:CR8,$D$3:$CR$3,"У")</s:f>
        <s:v>3</s:v>
      </s:c>
      <s:c r="CV8" s="28">
        <s:f>IF(C8="Да",CS8*$D$45+CT8*$D$46+CU8*$D$47,CS8*$C$45+CT8*$C$46+CU8*$C$47)</s:f>
        <s:v>17850</s:v>
      </s:c>
      <s:c r="CW8" s="29" t="str">
        <s:f>IF(C8="Нет",CV8,"")</s:f>
        <s:v/>
      </s:c>
      <s:c r="CX8" s="30" t="str">
        <s:f>IF(C8="Да",CV8,"")</s:f>
        <s:v/>
      </s:c>
      <s:c r="CY8" s="30">
        <s:f>IF(C8="Налич",CV8,"")</s:f>
        <s:v>17850</s:v>
      </s:c>
      <s:c r="CZ8" s="122"/>
    </s:row>
    <s:row r="9" ht="21.75">
      <s:c r="A9" s="23">
        <s:f>IF(B9="","",COUNTA($B$4:B9))</s:f>
        <s:v>6</s:v>
      </s:c>
      <s:c r="B9" s="24" t="s">
        <s:v>96</s:v>
      </s:c>
      <s:c r="C9" s="25" t="s">
        <s:v>17</s:v>
      </s:c>
      <s:c r="D9" s="49"/>
      <s:c r="E9" s="50"/>
      <s:c r="F9" s="74"/>
      <s:c r="G9" s="79"/>
      <s:c r="H9" s="26"/>
      <s:c r="I9" s="80"/>
      <s:c r="J9" s="76"/>
      <s:c r="K9" s="26"/>
      <s:c r="L9" s="27"/>
      <s:c r="M9" s="79"/>
      <s:c r="N9" s="26"/>
      <s:c r="O9" s="80"/>
      <s:c r="P9" s="76"/>
      <s:c r="Q9" s="26"/>
      <s:c r="R9" s="27"/>
      <s:c r="S9" s="79"/>
      <s:c r="T9" s="26"/>
      <s:c r="U9" s="80"/>
      <s:c r="V9" s="76"/>
      <s:c r="W9" s="26"/>
      <s:c r="X9" s="27"/>
      <s:c r="Y9" s="79"/>
      <s:c r="Z9" s="26"/>
      <s:c r="AA9" s="80"/>
      <s:c r="AB9" s="76"/>
      <s:c r="AC9" s="26"/>
      <s:c r="AD9" s="27"/>
      <s:c r="AE9" s="79"/>
      <s:c r="AF9" s="26"/>
      <s:c r="AG9" s="80"/>
      <s:c r="AH9" s="76"/>
      <s:c r="AI9" s="26"/>
      <s:c r="AJ9" s="27"/>
      <s:c r="AK9" s="79"/>
      <s:c r="AL9" s="26"/>
      <s:c r="AM9" s="80"/>
      <s:c r="AN9" s="76"/>
      <s:c r="AO9" s="26"/>
      <s:c r="AP9" s="27"/>
      <s:c r="AQ9" s="79"/>
      <s:c r="AR9" s="26"/>
      <s:c r="AS9" s="80"/>
      <s:c r="AT9" s="76"/>
      <s:c r="AU9" s="26"/>
      <s:c r="AV9" s="27"/>
      <s:c r="AW9" s="79"/>
      <s:c r="AX9" s="26"/>
      <s:c r="AY9" s="80"/>
      <s:c r="AZ9" s="76"/>
      <s:c r="BA9" s="26"/>
      <s:c r="BB9" s="27"/>
      <s:c r="BC9" s="79"/>
      <s:c r="BD9" s="26"/>
      <s:c r="BE9" s="80"/>
      <s:c r="BF9" s="76"/>
      <s:c r="BG9" s="26"/>
      <s:c r="BH9" s="27"/>
      <s:c r="BI9" s="79"/>
      <s:c r="BJ9" s="26"/>
      <s:c r="BK9" s="80"/>
      <s:c r="BL9" s="76"/>
      <s:c r="BM9" s="26"/>
      <s:c r="BN9" s="27"/>
      <s:c r="BO9" s="79"/>
      <s:c r="BP9" s="26"/>
      <s:c r="BQ9" s="80"/>
      <s:c r="BR9" s="76"/>
      <s:c r="BS9" s="26"/>
      <s:c r="BT9" s="27"/>
      <s:c r="BU9" s="79"/>
      <s:c r="BV9" s="26"/>
      <s:c r="BW9" s="80"/>
      <s:c r="BX9" s="183">
        <s:v>2</s:v>
      </s:c>
      <s:c r="BY9" s="26"/>
      <s:c r="BZ9" s="27"/>
      <s:c r="CA9" s="180">
        <s:v>2</s:v>
      </s:c>
      <s:c r="CB9" s="26"/>
      <s:c r="CC9" s="80"/>
      <s:c r="CD9" s="183">
        <s:v>2</s:v>
      </s:c>
      <s:c r="CE9" s="26"/>
      <s:c r="CF9" s="27"/>
      <s:c r="CG9" s="180">
        <s:v>2</s:v>
      </s:c>
      <s:c r="CH9" s="26"/>
      <s:c r="CI9" s="80"/>
      <s:c r="CJ9" s="183">
        <s:v>2</s:v>
      </s:c>
      <s:c r="CK9" s="26"/>
      <s:c r="CL9" s="27"/>
      <s:c r="CM9" s="180">
        <s:v>2</s:v>
      </s:c>
      <s:c r="CN9" s="26"/>
      <s:c r="CO9" s="80"/>
      <s:c r="CP9" s="76"/>
      <s:c r="CQ9" s="26"/>
      <s:c r="CR9" s="27"/>
      <s:c r="CS9" s="62">
        <s:f>SUMIFS(D9:CR9,$D$3:$CR$3,"З")</s:f>
        <s:v>12</s:v>
      </s:c>
      <s:c r="CT9" s="63">
        <s:f>SUMIFS(D9:CR9,$D$3:$CR$3,"О")</s:f>
        <s:v>0</s:v>
      </s:c>
      <s:c r="CU9" s="63">
        <s:f>SUMIFS(D9:CR9,$D$3:$CR$3,"У")</s:f>
        <s:v>0</s:v>
      </s:c>
      <s:c r="CV9" s="28">
        <s:f>IF(C9="Да",CS9*$D$45+CT9*$D$46+CU9*$D$47,CS9*$C$45+CT9*$C$46+CU9*$C$47)</s:f>
        <s:v>11520</s:v>
      </s:c>
      <s:c r="CW9" s="29" t="str">
        <s:f>IF(C9="Нет",CV9,"")</s:f>
        <s:v/>
      </s:c>
      <s:c r="CX9" s="30">
        <s:f>IF(C9="Да",CV9,"")</s:f>
        <s:v>11520</s:v>
      </s:c>
      <s:c r="CY9" s="30" t="str">
        <s:f>IF(C9="Налич",CV9,"")</s:f>
        <s:v/>
      </s:c>
      <s:c r="CZ9" s="122"/>
    </s:row>
    <s:row r="10" ht="21.75">
      <s:c r="A10" s="23">
        <s:v>8</s:v>
      </s:c>
      <s:c r="B10" s="24" t="s">
        <s:v>97</s:v>
      </s:c>
      <s:c r="C10" s="25" t="s">
        <s:v>17</s:v>
      </s:c>
      <s:c r="D10" s="49"/>
      <s:c r="E10" s="50"/>
      <s:c r="F10" s="74"/>
      <s:c r="G10" s="79"/>
      <s:c r="H10" s="26"/>
      <s:c r="I10" s="80"/>
      <s:c r="J10" s="76"/>
      <s:c r="K10" s="26"/>
      <s:c r="L10" s="27"/>
      <s:c r="M10" s="79"/>
      <s:c r="N10" s="26"/>
      <s:c r="O10" s="80"/>
      <s:c r="P10" s="76"/>
      <s:c r="Q10" s="26"/>
      <s:c r="R10" s="27"/>
      <s:c r="S10" s="79"/>
      <s:c r="T10" s="26"/>
      <s:c r="U10" s="80"/>
      <s:c r="V10" s="76"/>
      <s:c r="W10" s="26"/>
      <s:c r="X10" s="27"/>
      <s:c r="Y10" s="79"/>
      <s:c r="Z10" s="26"/>
      <s:c r="AA10" s="80"/>
      <s:c r="AB10" s="76"/>
      <s:c r="AC10" s="26"/>
      <s:c r="AD10" s="27"/>
      <s:c r="AE10" s="79"/>
      <s:c r="AF10" s="26"/>
      <s:c r="AG10" s="80"/>
      <s:c r="AH10" s="76"/>
      <s:c r="AI10" s="26"/>
      <s:c r="AJ10" s="27"/>
      <s:c r="AK10" s="79"/>
      <s:c r="AL10" s="26"/>
      <s:c r="AM10" s="80"/>
      <s:c r="AN10" s="76"/>
      <s:c r="AO10" s="26"/>
      <s:c r="AP10" s="27"/>
      <s:c r="AQ10" s="79"/>
      <s:c r="AR10" s="26"/>
      <s:c r="AS10" s="80"/>
      <s:c r="AT10" s="76"/>
      <s:c r="AU10" s="26"/>
      <s:c r="AV10" s="27"/>
      <s:c r="AW10" s="79"/>
      <s:c r="AX10" s="26"/>
      <s:c r="AY10" s="80"/>
      <s:c r="AZ10" s="76"/>
      <s:c r="BA10" s="26"/>
      <s:c r="BB10" s="27"/>
      <s:c r="BC10" s="79"/>
      <s:c r="BD10" s="26"/>
      <s:c r="BE10" s="80"/>
      <s:c r="BF10" s="76"/>
      <s:c r="BG10" s="26"/>
      <s:c r="BH10" s="27"/>
      <s:c r="BI10" s="79"/>
      <s:c r="BJ10" s="26"/>
      <s:c r="BK10" s="80"/>
      <s:c r="BL10" s="76"/>
      <s:c r="BM10" s="26"/>
      <s:c r="BN10" s="27"/>
      <s:c r="BO10" s="79"/>
      <s:c r="BP10" s="26"/>
      <s:c r="BQ10" s="80"/>
      <s:c r="BR10" s="76"/>
      <s:c r="BS10" s="26"/>
      <s:c r="BT10" s="27"/>
      <s:c r="BU10" s="79"/>
      <s:c r="BV10" s="26"/>
      <s:c r="BW10" s="80"/>
      <s:c r="BX10" s="76"/>
      <s:c r="BY10" s="26"/>
      <s:c r="BZ10" s="27"/>
      <s:c r="CA10" s="79"/>
      <s:c r="CB10" s="26"/>
      <s:c r="CC10" s="80"/>
      <s:c r="CD10" s="76"/>
      <s:c r="CE10" s="26"/>
      <s:c r="CF10" s="27"/>
      <s:c r="CG10" s="79"/>
      <s:c r="CH10" s="26"/>
      <s:c r="CI10" s="80"/>
      <s:c r="CJ10" s="76"/>
      <s:c r="CK10" s="181" t="s">
        <s:v>98</s:v>
      </s:c>
      <s:c r="CL10" s="184">
        <s:v>20</s:v>
      </s:c>
      <s:c r="CM10" s="180">
        <s:v>20</s:v>
      </s:c>
      <s:c r="CN10" s="181">
        <s:v>20</s:v>
      </s:c>
      <s:c r="CO10" s="182">
        <s:v>20</s:v>
      </s:c>
      <s:c r="CP10" s="76"/>
      <s:c r="CQ10" s="26"/>
      <s:c r="CR10" s="27"/>
      <s:c r="CS10" s="62">
        <s:f>SUMIFS(D10:CR10,$D$3:$CR$3,"З")</s:f>
        <s:v>20</s:v>
      </s:c>
      <s:c r="CT10" s="63">
        <s:f>SUMIFS(D10:CR10,$D$3:$CR$3,"О")</s:f>
        <s:v>20</s:v>
      </s:c>
      <s:c r="CU10" s="63">
        <s:f>SUMIFS(D10:CR10,$D$3:$CR$3,"У")</s:f>
        <s:v>40</s:v>
      </s:c>
      <s:c r="CV10" s="28">
        <s:f>IF(C10="Да",CS10*$D$45+CT10*$D$46+CU10*$D$47,CS10*$C$45+CT10*$C$46+CU10*$C$47)</s:f>
        <s:v>84000</s:v>
      </s:c>
      <s:c r="CW10" s="29" t="str">
        <s:f>IF(C10="Нет",CV10,"")</s:f>
        <s:v/>
      </s:c>
      <s:c r="CX10" s="30">
        <s:f>IF(C10="Да",CV10,"")</s:f>
        <s:v>84000</s:v>
      </s:c>
      <s:c r="CY10" s="30" t="str">
        <s:f>IF(C10="Налич",CV10,"")</s:f>
        <s:v/>
      </s:c>
      <s:c r="CZ10" s="122"/>
    </s:row>
    <s:row r="11" ht="21.75">
      <s:c r="A11" s="23">
        <s:v>9</s:v>
      </s:c>
      <s:c r="B11" s="24" t="s">
        <s:v>99</s:v>
      </s:c>
      <s:c r="C11" s="25" t="s">
        <s:v>28</s:v>
      </s:c>
      <s:c r="D11" s="49"/>
      <s:c r="E11" s="50"/>
      <s:c r="F11" s="74"/>
      <s:c r="G11" s="79"/>
      <s:c r="H11" s="26"/>
      <s:c r="I11" s="80"/>
      <s:c r="J11" s="76"/>
      <s:c r="K11" s="26"/>
      <s:c r="L11" s="27"/>
      <s:c r="M11" s="79"/>
      <s:c r="N11" s="26"/>
      <s:c r="O11" s="80"/>
      <s:c r="P11" s="76"/>
      <s:c r="Q11" s="26"/>
      <s:c r="R11" s="27"/>
      <s:c r="S11" s="79"/>
      <s:c r="T11" s="26"/>
      <s:c r="U11" s="80"/>
      <s:c r="V11" s="76"/>
      <s:c r="W11" s="26"/>
      <s:c r="X11" s="27"/>
      <s:c r="Y11" s="79"/>
      <s:c r="Z11" s="26"/>
      <s:c r="AA11" s="80"/>
      <s:c r="AB11" s="76"/>
      <s:c r="AC11" s="26"/>
      <s:c r="AD11" s="27"/>
      <s:c r="AE11" s="79"/>
      <s:c r="AF11" s="26"/>
      <s:c r="AG11" s="80"/>
      <s:c r="AH11" s="76"/>
      <s:c r="AI11" s="26"/>
      <s:c r="AJ11" s="27"/>
      <s:c r="AK11" s="79"/>
      <s:c r="AL11" s="26"/>
      <s:c r="AM11" s="80"/>
      <s:c r="AN11" s="76"/>
      <s:c r="AO11" s="26"/>
      <s:c r="AP11" s="27"/>
      <s:c r="AQ11" s="79"/>
      <s:c r="AR11" s="26"/>
      <s:c r="AS11" s="80"/>
      <s:c r="AT11" s="76"/>
      <s:c r="AU11" s="26"/>
      <s:c r="AV11" s="27"/>
      <s:c r="AW11" s="79"/>
      <s:c r="AX11" s="26"/>
      <s:c r="AY11" s="80"/>
      <s:c r="AZ11" s="76"/>
      <s:c r="BA11" s="26"/>
      <s:c r="BB11" s="27"/>
      <s:c r="BC11" s="79"/>
      <s:c r="BD11" s="26"/>
      <s:c r="BE11" s="80"/>
      <s:c r="BF11" s="76"/>
      <s:c r="BG11" s="26"/>
      <s:c r="BH11" s="27"/>
      <s:c r="BI11" s="79"/>
      <s:c r="BJ11" s="26"/>
      <s:c r="BK11" s="80"/>
      <s:c r="BL11" s="76"/>
      <s:c r="BM11" s="26"/>
      <s:c r="BN11" s="27"/>
      <s:c r="BO11" s="79"/>
      <s:c r="BP11" s="26"/>
      <s:c r="BQ11" s="80"/>
      <s:c r="BR11" s="76"/>
      <s:c r="BS11" s="26"/>
      <s:c r="BT11" s="27"/>
      <s:c r="BU11" s="79"/>
      <s:c r="BV11" s="190">
        <s:v>3.25</s:v>
      </s:c>
      <s:c r="BW11" s="80"/>
      <s:c r="BX11" s="76"/>
      <s:c r="BY11" s="26"/>
      <s:c r="BZ11" s="27"/>
      <s:c r="CA11" s="79"/>
      <s:c r="CB11" s="26"/>
      <s:c r="CC11" s="80"/>
      <s:c r="CD11" s="76"/>
      <s:c r="CE11" s="26"/>
      <s:c r="CF11" s="27"/>
      <s:c r="CG11" s="79"/>
      <s:c r="CH11" s="26"/>
      <s:c r="CI11" s="80"/>
      <s:c r="CJ11" s="76"/>
      <s:c r="CK11" s="26"/>
      <s:c r="CL11" s="27"/>
      <s:c r="CM11" s="79"/>
      <s:c r="CN11" s="26"/>
      <s:c r="CO11" s="80"/>
      <s:c r="CP11" s="76"/>
      <s:c r="CQ11" s="26"/>
      <s:c r="CR11" s="27"/>
      <s:c r="CS11" s="62">
        <s:f>SUMIFS(D11:CR11,$D$3:$CR$3,"З")</s:f>
        <s:v>0</s:v>
      </s:c>
      <s:c r="CT11" s="63">
        <s:f>SUMIFS(D11:CR11,$D$3:$CR$3,"О")</s:f>
        <s:v>3.25</s:v>
      </s:c>
      <s:c r="CU11" s="63">
        <s:f>SUMIFS(D11:CR11,$D$3:$CR$3,"У")</s:f>
        <s:v>0</s:v>
      </s:c>
      <s:c r="CV11" s="28">
        <s:f>IF(C11="Да",CS11*$D$45+CT11*$D$46+CU11*$D$47,CS11*$C$45+CT11*$C$46+CU11*$C$47)</s:f>
        <s:v>3250</s:v>
      </s:c>
      <s:c r="CW11" s="29" t="str">
        <s:f>IF(C11="Нет",CV11,"")</s:f>
        <s:v/>
      </s:c>
      <s:c r="CX11" s="30" t="str">
        <s:f>IF(C11="Да",CV11,"")</s:f>
        <s:v/>
      </s:c>
      <s:c r="CY11" s="30">
        <s:f>IF(C11="Налич",CV11,"")</s:f>
        <s:v>3250</s:v>
      </s:c>
      <s:c r="CZ11" s="122"/>
    </s:row>
    <s:row r="12" ht="21.75">
      <s:c r="A12" s="23">
        <s:v>10</s:v>
      </s:c>
      <s:c r="B12" s="24" t="s">
        <s:v>99</s:v>
      </s:c>
      <s:c r="C12" s="25" t="s">
        <s:v>18</s:v>
      </s:c>
      <s:c r="D12" s="49"/>
      <s:c r="E12" s="50"/>
      <s:c r="F12" s="74"/>
      <s:c r="G12" s="79"/>
      <s:c r="H12" s="26"/>
      <s:c r="I12" s="80"/>
      <s:c r="J12" s="76"/>
      <s:c r="K12" s="26"/>
      <s:c r="L12" s="27"/>
      <s:c r="M12" s="79"/>
      <s:c r="N12" s="26"/>
      <s:c r="O12" s="80"/>
      <s:c r="P12" s="76"/>
      <s:c r="Q12" s="26"/>
      <s:c r="R12" s="27"/>
      <s:c r="S12" s="79"/>
      <s:c r="T12" s="26"/>
      <s:c r="U12" s="80"/>
      <s:c r="V12" s="76"/>
      <s:c r="W12" s="26"/>
      <s:c r="X12" s="27"/>
      <s:c r="Y12" s="79"/>
      <s:c r="Z12" s="26"/>
      <s:c r="AA12" s="80"/>
      <s:c r="AB12" s="76"/>
      <s:c r="AC12" s="26"/>
      <s:c r="AD12" s="27"/>
      <s:c r="AE12" s="79"/>
      <s:c r="AF12" s="26"/>
      <s:c r="AG12" s="80"/>
      <s:c r="AH12" s="76"/>
      <s:c r="AI12" s="26"/>
      <s:c r="AJ12" s="27"/>
      <s:c r="AK12" s="79"/>
      <s:c r="AL12" s="26"/>
      <s:c r="AM12" s="80"/>
      <s:c r="AN12" s="76"/>
      <s:c r="AO12" s="26"/>
      <s:c r="AP12" s="27"/>
      <s:c r="AQ12" s="79"/>
      <s:c r="AR12" s="26"/>
      <s:c r="AS12" s="80"/>
      <s:c r="AT12" s="76"/>
      <s:c r="AU12" s="26"/>
      <s:c r="AV12" s="27"/>
      <s:c r="AW12" s="79"/>
      <s:c r="AX12" s="26"/>
      <s:c r="AY12" s="80"/>
      <s:c r="AZ12" s="76"/>
      <s:c r="BA12" s="26"/>
      <s:c r="BB12" s="27"/>
      <s:c r="BC12" s="79"/>
      <s:c r="BD12" s="26"/>
      <s:c r="BE12" s="80"/>
      <s:c r="BF12" s="76"/>
      <s:c r="BG12" s="26"/>
      <s:c r="BH12" s="27"/>
      <s:c r="BI12" s="79"/>
      <s:c r="BJ12" s="26"/>
      <s:c r="BK12" s="80"/>
      <s:c r="BL12" s="76"/>
      <s:c r="BM12" s="26"/>
      <s:c r="BN12" s="27"/>
      <s:c r="BO12" s="79"/>
      <s:c r="BP12" s="26"/>
      <s:c r="BQ12" s="80"/>
      <s:c r="BR12" s="76"/>
      <s:c r="BS12" s="26"/>
      <s:c r="BT12" s="27"/>
      <s:c r="BU12" s="79"/>
      <s:c r="BV12" s="190">
        <s:v>1.95</s:v>
      </s:c>
      <s:c r="BW12" s="80"/>
      <s:c r="BX12" s="76"/>
      <s:c r="BY12" s="26"/>
      <s:c r="BZ12" s="27"/>
      <s:c r="CA12" s="79"/>
      <s:c r="CB12" s="26"/>
      <s:c r="CC12" s="80"/>
      <s:c r="CD12" s="76"/>
      <s:c r="CE12" s="26"/>
      <s:c r="CF12" s="27"/>
      <s:c r="CG12" s="79"/>
      <s:c r="CH12" s="26"/>
      <s:c r="CI12" s="80"/>
      <s:c r="CJ12" s="76"/>
      <s:c r="CK12" s="26"/>
      <s:c r="CL12" s="27"/>
      <s:c r="CM12" s="79"/>
      <s:c r="CN12" s="26"/>
      <s:c r="CO12" s="80"/>
      <s:c r="CP12" s="76"/>
      <s:c r="CQ12" s="26"/>
      <s:c r="CR12" s="27"/>
      <s:c r="CS12" s="62">
        <s:f>SUMIFS(D12:CR12,$D$3:$CR$3,"З")</s:f>
        <s:v>0</s:v>
      </s:c>
      <s:c r="CT12" s="63">
        <s:f>SUMIFS(D12:CR12,$D$3:$CR$3,"О")</s:f>
        <s:v>1.95</s:v>
      </s:c>
      <s:c r="CU12" s="63">
        <s:f>SUMIFS(D12:CR12,$D$3:$CR$3,"У")</s:f>
        <s:v>0</s:v>
      </s:c>
      <s:c r="CV12" s="28">
        <s:f>IF(C12="Да",CS12*$D$45+CT12*$D$46+CU12*$D$47,CS12*$C$45+CT12*$C$46+CU12*$C$47)</s:f>
        <s:v>1950</s:v>
      </s:c>
      <s:c r="CW12" s="29">
        <s:f>IF(C12="Нет",CV12,"")</s:f>
        <s:v>1950</s:v>
      </s:c>
      <s:c r="CX12" s="30" t="str">
        <s:f>IF(C12="Да",CV12,"")</s:f>
        <s:v/>
      </s:c>
      <s:c r="CY12" s="30" t="str">
        <s:f>IF(C12="Налич",CV12,"")</s:f>
        <s:v/>
      </s:c>
      <s:c r="CZ12" s="122"/>
    </s:row>
    <s:row r="13" ht="21.75">
      <s:c r="A13" s="23">
        <s:v>11</s:v>
      </s:c>
      <s:c r="B13" s="24" t="s">
        <s:v>100</s:v>
      </s:c>
      <s:c r="C13" s="25" t="s">
        <s:v>17</s:v>
      </s:c>
      <s:c r="D13" s="49"/>
      <s:c r="E13" s="50"/>
      <s:c r="F13" s="74"/>
      <s:c r="G13" s="79"/>
      <s:c r="H13" s="26"/>
      <s:c r="I13" s="80"/>
      <s:c r="J13" s="76"/>
      <s:c r="K13" s="26"/>
      <s:c r="L13" s="27"/>
      <s:c r="M13" s="79"/>
      <s:c r="N13" s="26"/>
      <s:c r="O13" s="80"/>
      <s:c r="P13" s="76"/>
      <s:c r="Q13" s="26"/>
      <s:c r="R13" s="27"/>
      <s:c r="S13" s="79"/>
      <s:c r="T13" s="26"/>
      <s:c r="U13" s="80"/>
      <s:c r="V13" s="76"/>
      <s:c r="W13" s="26"/>
      <s:c r="X13" s="27"/>
      <s:c r="Y13" s="79"/>
      <s:c r="Z13" s="26"/>
      <s:c r="AA13" s="80"/>
      <s:c r="AB13" s="76"/>
      <s:c r="AC13" s="26"/>
      <s:c r="AD13" s="27"/>
      <s:c r="AE13" s="79"/>
      <s:c r="AF13" s="26"/>
      <s:c r="AG13" s="80"/>
      <s:c r="AH13" s="76"/>
      <s:c r="AI13" s="26"/>
      <s:c r="AJ13" s="27"/>
      <s:c r="AK13" s="79"/>
      <s:c r="AL13" s="26"/>
      <s:c r="AM13" s="80"/>
      <s:c r="AN13" s="76"/>
      <s:c r="AO13" s="26"/>
      <s:c r="AP13" s="27"/>
      <s:c r="AQ13" s="79"/>
      <s:c r="AR13" s="26"/>
      <s:c r="AS13" s="80"/>
      <s:c r="AT13" s="76"/>
      <s:c r="AU13" s="26"/>
      <s:c r="AV13" s="27"/>
      <s:c r="AW13" s="79"/>
      <s:c r="AX13" s="26"/>
      <s:c r="AY13" s="80"/>
      <s:c r="AZ13" s="76"/>
      <s:c r="BA13" s="26"/>
      <s:c r="BB13" s="27"/>
      <s:c r="BC13" s="79"/>
      <s:c r="BD13" s="26"/>
      <s:c r="BE13" s="80"/>
      <s:c r="BF13" s="76"/>
      <s:c r="BG13" s="26"/>
      <s:c r="BH13" s="27"/>
      <s:c r="BI13" s="79"/>
      <s:c r="BJ13" s="26"/>
      <s:c r="BK13" s="80"/>
      <s:c r="BL13" s="76"/>
      <s:c r="BM13" s="26"/>
      <s:c r="BN13" s="27"/>
      <s:c r="BO13" s="79"/>
      <s:c r="BP13" s="26"/>
      <s:c r="BQ13" s="80"/>
      <s:c r="BR13" s="76"/>
      <s:c r="BS13" s="26"/>
      <s:c r="BT13" s="27"/>
      <s:c r="BU13" s="79"/>
      <s:c r="BV13" s="26"/>
      <s:c r="BW13" s="80"/>
      <s:c r="BX13" s="76"/>
      <s:c r="BY13" s="26"/>
      <s:c r="BZ13" s="184">
        <s:v>9</s:v>
      </s:c>
      <s:c r="CA13" s="180">
        <s:v>9</s:v>
      </s:c>
      <s:c r="CB13" s="26"/>
      <s:c r="CC13" s="80"/>
      <s:c r="CD13" s="183">
        <s:v>3</s:v>
      </s:c>
      <s:c r="CE13" s="26"/>
      <s:c r="CF13" s="27"/>
      <s:c r="CG13" s="79"/>
      <s:c r="CH13" s="26"/>
      <s:c r="CI13" s="80"/>
      <s:c r="CJ13" s="76"/>
      <s:c r="CK13" s="26"/>
      <s:c r="CL13" s="27"/>
      <s:c r="CM13" s="79"/>
      <s:c r="CN13" s="26"/>
      <s:c r="CO13" s="80"/>
      <s:c r="CP13" s="76"/>
      <s:c r="CQ13" s="26"/>
      <s:c r="CR13" s="27"/>
      <s:c r="CS13" s="62">
        <s:f>SUMIFS(D13:CR13,$D$3:$CR$3,"З")</s:f>
        <s:v>12</s:v>
      </s:c>
      <s:c r="CT13" s="63">
        <s:f>SUMIFS(D13:CR13,$D$3:$CR$3,"О")</s:f>
        <s:v>0</s:v>
      </s:c>
      <s:c r="CU13" s="63">
        <s:f>SUMIFS(D13:CR13,$D$3:$CR$3,"У")</s:f>
        <s:v>9</s:v>
      </s:c>
      <s:c r="CV13" s="28">
        <s:f>IF(C13="Да",CS13*$D$45+CT13*$D$46+CU13*$D$47,CS13*$C$45+CT13*$C$46+CU13*$C$47)</s:f>
        <s:v>20700</s:v>
      </s:c>
      <s:c r="CW13" s="29" t="str">
        <s:f>IF(C13="Нет",CV13,"")</s:f>
        <s:v/>
      </s:c>
      <s:c r="CX13" s="30">
        <s:f>IF(C13="Да",CV13,"")</s:f>
        <s:v>20700</s:v>
      </s:c>
      <s:c r="CY13" s="30" t="str">
        <s:f>IF(C13="Налич",CV13,"")</s:f>
        <s:v/>
      </s:c>
      <s:c r="CZ13" s="122"/>
    </s:row>
    <s:row r="14" ht="21.75">
      <s:c r="A14" s="23">
        <s:f>IF(B14="","",COUNTA($B$4:B14))</s:f>
        <s:v>11</s:v>
      </s:c>
      <s:c r="B14" s="24" t="s">
        <s:v>88</s:v>
      </s:c>
      <s:c r="C14" s="25" t="s">
        <s:v>17</s:v>
      </s:c>
      <s:c r="D14" s="49"/>
      <s:c r="E14" s="50"/>
      <s:c r="F14" s="74"/>
      <s:c r="G14" s="79"/>
      <s:c r="H14" s="26"/>
      <s:c r="I14" s="80"/>
      <s:c r="J14" s="76"/>
      <s:c r="K14" s="26"/>
      <s:c r="L14" s="27"/>
      <s:c r="M14" s="79"/>
      <s:c r="N14" s="26"/>
      <s:c r="O14" s="80"/>
      <s:c r="P14" s="76"/>
      <s:c r="Q14" s="26"/>
      <s:c r="R14" s="27"/>
      <s:c r="S14" s="79"/>
      <s:c r="T14" s="26"/>
      <s:c r="U14" s="80"/>
      <s:c r="V14" s="76"/>
      <s:c r="W14" s="26"/>
      <s:c r="X14" s="27"/>
      <s:c r="Y14" s="79"/>
      <s:c r="Z14" s="26"/>
      <s:c r="AA14" s="80"/>
      <s:c r="AB14" s="76"/>
      <s:c r="AC14" s="26"/>
      <s:c r="AD14" s="27"/>
      <s:c r="AE14" s="79"/>
      <s:c r="AF14" s="26"/>
      <s:c r="AG14" s="80"/>
      <s:c r="AH14" s="76"/>
      <s:c r="AI14" s="26"/>
      <s:c r="AJ14" s="27"/>
      <s:c r="AK14" s="79"/>
      <s:c r="AL14" s="26"/>
      <s:c r="AM14" s="80"/>
      <s:c r="AN14" s="76"/>
      <s:c r="AO14" s="26"/>
      <s:c r="AP14" s="27"/>
      <s:c r="AQ14" s="79"/>
      <s:c r="AR14" s="26"/>
      <s:c r="AS14" s="80"/>
      <s:c r="AT14" s="76"/>
      <s:c r="AU14" s="26"/>
      <s:c r="AV14" s="27"/>
      <s:c r="AW14" s="79"/>
      <s:c r="AX14" s="26"/>
      <s:c r="AY14" s="80"/>
      <s:c r="AZ14" s="76"/>
      <s:c r="BA14" s="26"/>
      <s:c r="BB14" s="27"/>
      <s:c r="BC14" s="79"/>
      <s:c r="BD14" s="26"/>
      <s:c r="BE14" s="80"/>
      <s:c r="BF14" s="76"/>
      <s:c r="BG14" s="26"/>
      <s:c r="BH14" s="27"/>
      <s:c r="BI14" s="79"/>
      <s:c r="BJ14" s="26"/>
      <s:c r="BK14" s="80"/>
      <s:c r="BL14" s="76"/>
      <s:c r="BM14" s="26"/>
      <s:c r="BN14" s="27"/>
      <s:c r="BO14" s="79"/>
      <s:c r="BP14" s="26"/>
      <s:c r="BQ14" s="80"/>
      <s:c r="BR14" s="76"/>
      <s:c r="BS14" s="26"/>
      <s:c r="BT14" s="27"/>
      <s:c r="BU14" s="79"/>
      <s:c r="BV14" s="26"/>
      <s:c r="BW14" s="80"/>
      <s:c r="BX14" s="76"/>
      <s:c r="BY14" s="26"/>
      <s:c r="BZ14" s="27"/>
      <s:c r="CA14" s="79"/>
      <s:c r="CB14" s="26"/>
      <s:c r="CC14" s="80"/>
      <s:c r="CD14" s="76"/>
      <s:c r="CE14" s="26"/>
      <s:c r="CF14" s="27"/>
      <s:c r="CG14" s="180">
        <s:v>2</s:v>
      </s:c>
      <s:c r="CH14" s="26"/>
      <s:c r="CI14" s="80"/>
      <s:c r="CJ14" s="76"/>
      <s:c r="CK14" s="26"/>
      <s:c r="CL14" s="27"/>
      <s:c r="CM14" s="79"/>
      <s:c r="CN14" s="26"/>
      <s:c r="CO14" s="80"/>
      <s:c r="CP14" s="76"/>
      <s:c r="CQ14" s="26"/>
      <s:c r="CR14" s="27"/>
      <s:c r="CS14" s="62">
        <s:f>SUMIFS(D14:CR14,$D$3:$CR$3,"З")</s:f>
        <s:v>2</s:v>
      </s:c>
      <s:c r="CT14" s="63">
        <s:f>SUMIFS(D14:CR14,$D$3:$CR$3,"О")</s:f>
        <s:v>0</s:v>
      </s:c>
      <s:c r="CU14" s="63">
        <s:f>SUMIFS(D14:CR14,$D$3:$CR$3,"У")</s:f>
        <s:v>0</s:v>
      </s:c>
      <s:c r="CV14" s="28">
        <s:f>IF(C14="Да",CS14*$D$45+CT14*$D$46+CU14*$D$47,CS14*$C$45+CT14*$C$46+CU14*$C$47)</s:f>
        <s:v>1920</s:v>
      </s:c>
      <s:c r="CW14" s="29" t="str">
        <s:f>IF(C14="Нет",CV14,"")</s:f>
        <s:v/>
      </s:c>
      <s:c r="CX14" s="30">
        <s:f>IF(C14="Да",CV14,"")</s:f>
        <s:v>1920</s:v>
      </s:c>
      <s:c r="CY14" s="30" t="str">
        <s:f>IF(C14="Налич",CV14,"")</s:f>
        <s:v/>
      </s:c>
      <s:c r="CZ14" s="122"/>
    </s:row>
    <s:row r="15" ht="21.75">
      <s:c r="A15" s="23">
        <s:v>12</s:v>
      </s:c>
      <s:c r="B15" s="24" t="s">
        <s:v>98</s:v>
      </s:c>
      <s:c r="C15" s="25" t="s">
        <s:v>17</s:v>
      </s:c>
      <s:c r="D15" s="49"/>
      <s:c r="E15" s="50"/>
      <s:c r="F15" s="74"/>
      <s:c r="G15" s="79"/>
      <s:c r="H15" s="26"/>
      <s:c r="I15" s="80"/>
      <s:c r="J15" s="76"/>
      <s:c r="K15" s="26"/>
      <s:c r="L15" s="27"/>
      <s:c r="M15" s="79"/>
      <s:c r="N15" s="26"/>
      <s:c r="O15" s="80"/>
      <s:c r="P15" s="76"/>
      <s:c r="Q15" s="26"/>
      <s:c r="R15" s="27"/>
      <s:c r="S15" s="79"/>
      <s:c r="T15" s="26"/>
      <s:c r="U15" s="80"/>
      <s:c r="V15" s="76"/>
      <s:c r="W15" s="26"/>
      <s:c r="X15" s="27"/>
      <s:c r="Y15" s="79"/>
      <s:c r="Z15" s="26"/>
      <s:c r="AA15" s="80"/>
      <s:c r="AB15" s="76"/>
      <s:c r="AC15" s="26"/>
      <s:c r="AD15" s="27"/>
      <s:c r="AE15" s="79"/>
      <s:c r="AF15" s="26"/>
      <s:c r="AG15" s="80"/>
      <s:c r="AH15" s="76"/>
      <s:c r="AI15" s="26"/>
      <s:c r="AJ15" s="27"/>
      <s:c r="AK15" s="79"/>
      <s:c r="AL15" s="26"/>
      <s:c r="AM15" s="80"/>
      <s:c r="AN15" s="76"/>
      <s:c r="AO15" s="26"/>
      <s:c r="AP15" s="27"/>
      <s:c r="AQ15" s="79"/>
      <s:c r="AR15" s="26"/>
      <s:c r="AS15" s="80"/>
      <s:c r="AT15" s="183"/>
      <s:c r="AU15" s="26"/>
      <s:c r="AV15" s="27"/>
      <s:c r="AW15" s="79"/>
      <s:c r="AX15" s="26"/>
      <s:c r="AY15" s="80"/>
      <s:c r="AZ15" s="76"/>
      <s:c r="BA15" s="26"/>
      <s:c r="BB15" s="27"/>
      <s:c r="BC15" s="79"/>
      <s:c r="BD15" s="26"/>
      <s:c r="BE15" s="80"/>
      <s:c r="BF15" s="76"/>
      <s:c r="BG15" s="26"/>
      <s:c r="BH15" s="27"/>
      <s:c r="BI15" s="79"/>
      <s:c r="BJ15" s="26"/>
      <s:c r="BK15" s="80"/>
      <s:c r="BL15" s="76"/>
      <s:c r="BM15" s="26"/>
      <s:c r="BN15" s="27"/>
      <s:c r="BO15" s="79"/>
      <s:c r="BP15" s="26"/>
      <s:c r="BQ15" s="80"/>
      <s:c r="BR15" s="76"/>
      <s:c r="BS15" s="26"/>
      <s:c r="BT15" s="27"/>
      <s:c r="BU15" s="79"/>
      <s:c r="BV15" s="26"/>
      <s:c r="BW15" s="80"/>
      <s:c r="BX15" s="76"/>
      <s:c r="BY15" s="26"/>
      <s:c r="BZ15" s="27"/>
      <s:c r="CA15" s="79"/>
      <s:c r="CB15" s="26"/>
      <s:c r="CC15" s="80"/>
      <s:c r="CD15" s="76"/>
      <s:c r="CE15" s="26"/>
      <s:c r="CF15" s="27"/>
      <s:c r="CG15" s="79"/>
      <s:c r="CH15" s="26"/>
      <s:c r="CI15" s="80"/>
      <s:c r="CJ15" s="76"/>
      <s:c r="CK15" s="26"/>
      <s:c r="CL15" s="27"/>
      <s:c r="CM15" s="79"/>
      <s:c r="CN15" s="26"/>
      <s:c r="CO15" s="80"/>
      <s:c r="CP15" s="76"/>
      <s:c r="CQ15" s="26"/>
      <s:c r="CR15" s="27"/>
      <s:c r="CS15" s="62">
        <s:f>SUMIFS(D15:CR15,$D$3:$CR$3,"З")</s:f>
        <s:v>0</s:v>
      </s:c>
      <s:c r="CT15" s="63">
        <s:f>SUMIFS(D15:CR15,$D$3:$CR$3,"О")</s:f>
        <s:v>0</s:v>
      </s:c>
      <s:c r="CU15" s="63">
        <s:f>SUMIFS(D15:CR15,$D$3:$CR$3,"У")</s:f>
        <s:v>0</s:v>
      </s:c>
      <s:c r="CV15" s="28">
        <s:f>IF(C15="Да",CS15*$D$45+CT15*$D$46+CU15*$D$47,CS15*$C$45+CT15*$C$46+CU15*$C$47)</s:f>
        <s:v>0</s:v>
      </s:c>
      <s:c r="CW15" s="29" t="str">
        <s:f>IF(C15="Нет",CV15,"")</s:f>
        <s:v/>
      </s:c>
      <s:c r="CX15" s="30">
        <s:f>IF(C15="Да",CV15,"")</s:f>
        <s:v>0</s:v>
      </s:c>
      <s:c r="CY15" s="30" t="str">
        <s:f>IF(C15="Налич",CV15,"")</s:f>
        <s:v/>
      </s:c>
      <s:c r="CZ15" s="122"/>
    </s:row>
    <s:row r="16" ht="21.75">
      <s:c r="A16" s="23" t="str">
        <s:f>IF(B16="","",COUNTA($B$4:B16))</s:f>
        <s:v/>
      </s:c>
      <s:c r="B16" s="24"/>
      <s:c r="C16" s="25" t="s">
        <s:v>17</s:v>
      </s:c>
      <s:c r="D16" s="49"/>
      <s:c r="E16" s="50"/>
      <s:c r="F16" s="74"/>
      <s:c r="G16" s="79"/>
      <s:c r="H16" s="26"/>
      <s:c r="I16" s="80"/>
      <s:c r="J16" s="76"/>
      <s:c r="K16" s="26"/>
      <s:c r="L16" s="27"/>
      <s:c r="M16" s="79"/>
      <s:c r="N16" s="26"/>
      <s:c r="O16" s="80"/>
      <s:c r="P16" s="76"/>
      <s:c r="Q16" s="26"/>
      <s:c r="R16" s="27"/>
      <s:c r="S16" s="79"/>
      <s:c r="T16" s="26"/>
      <s:c r="U16" s="80"/>
      <s:c r="V16" s="76"/>
      <s:c r="W16" s="26"/>
      <s:c r="X16" s="27"/>
      <s:c r="Y16" s="79"/>
      <s:c r="Z16" s="26"/>
      <s:c r="AA16" s="80"/>
      <s:c r="AB16" s="76"/>
      <s:c r="AC16" s="26"/>
      <s:c r="AD16" s="27"/>
      <s:c r="AE16" s="79"/>
      <s:c r="AF16" s="26"/>
      <s:c r="AG16" s="80"/>
      <s:c r="AH16" s="76"/>
      <s:c r="AI16" s="26"/>
      <s:c r="AJ16" s="27"/>
      <s:c r="AK16" s="79"/>
      <s:c r="AL16" s="26"/>
      <s:c r="AM16" s="80"/>
      <s:c r="AN16" s="76"/>
      <s:c r="AO16" s="26"/>
      <s:c r="AP16" s="27"/>
      <s:c r="AQ16" s="79"/>
      <s:c r="AR16" s="26"/>
      <s:c r="AS16" s="80"/>
      <s:c r="AT16" s="76"/>
      <s:c r="AU16" s="26"/>
      <s:c r="AV16" s="27"/>
      <s:c r="AW16" s="79"/>
      <s:c r="AX16" s="26"/>
      <s:c r="AY16" s="80"/>
      <s:c r="AZ16" s="76"/>
      <s:c r="BA16" s="26"/>
      <s:c r="BB16" s="27"/>
      <s:c r="BC16" s="79"/>
      <s:c r="BD16" s="26"/>
      <s:c r="BE16" s="80"/>
      <s:c r="BF16" s="76"/>
      <s:c r="BG16" s="26"/>
      <s:c r="BH16" s="27"/>
      <s:c r="BI16" s="79"/>
      <s:c r="BJ16" s="26"/>
      <s:c r="BK16" s="80"/>
      <s:c r="BL16" s="76"/>
      <s:c r="BM16" s="26"/>
      <s:c r="BN16" s="27"/>
      <s:c r="BO16" s="79"/>
      <s:c r="BP16" s="26"/>
      <s:c r="BQ16" s="80"/>
      <s:c r="BR16" s="76"/>
      <s:c r="BS16" s="26"/>
      <s:c r="BT16" s="27"/>
      <s:c r="BU16" s="79"/>
      <s:c r="BV16" s="26"/>
      <s:c r="BW16" s="80"/>
      <s:c r="BX16" s="76"/>
      <s:c r="BY16" s="26"/>
      <s:c r="BZ16" s="27"/>
      <s:c r="CA16" s="79"/>
      <s:c r="CB16" s="26"/>
      <s:c r="CC16" s="80"/>
      <s:c r="CD16" s="76"/>
      <s:c r="CE16" s="26"/>
      <s:c r="CF16" s="27"/>
      <s:c r="CG16" s="79"/>
      <s:c r="CH16" s="26"/>
      <s:c r="CI16" s="80"/>
      <s:c r="CJ16" s="76"/>
      <s:c r="CK16" s="26"/>
      <s:c r="CL16" s="27"/>
      <s:c r="CM16" s="79"/>
      <s:c r="CN16" s="26"/>
      <s:c r="CO16" s="80"/>
      <s:c r="CP16" s="76"/>
      <s:c r="CQ16" s="26"/>
      <s:c r="CR16" s="27"/>
      <s:c r="CS16" s="62">
        <s:f>SUMIFS(D16:CR16,$D$3:$CR$3,"З")</s:f>
        <s:v>0</s:v>
      </s:c>
      <s:c r="CT16" s="63">
        <s:f>SUMIFS(D16:CR16,$D$3:$CR$3,"О")</s:f>
        <s:v>0</s:v>
      </s:c>
      <s:c r="CU16" s="63">
        <s:f>SUMIFS(D16:CR16,$D$3:$CR$3,"У")</s:f>
        <s:v>0</s:v>
      </s:c>
      <s:c r="CV16" s="28">
        <s:f>IF(C16="Да",CS16*$D$45+CT16*$D$46+CU16*$D$47,CS16*$C$45+CT16*$C$46+CU16*$C$47)</s:f>
        <s:v>0</s:v>
      </s:c>
      <s:c r="CW16" s="29" t="str">
        <s:f>IF(C16="Нет",CV16,"")</s:f>
        <s:v/>
      </s:c>
      <s:c r="CX16" s="30">
        <s:f>IF(C16="Да",CV16,"")</s:f>
        <s:v>0</s:v>
      </s:c>
      <s:c r="CY16" s="30" t="str">
        <s:f>IF(C16="Налич",CV16,"")</s:f>
        <s:v/>
      </s:c>
      <s:c r="CZ16" s="122"/>
    </s:row>
    <s:row r="17" ht="21.75">
      <s:c r="A17" s="23" t="str">
        <s:f>IF(B17="","",COUNTA($B$4:B17))</s:f>
        <s:v/>
      </s:c>
      <s:c r="B17" s="24"/>
      <s:c r="C17" s="25" t="s">
        <s:v>18</s:v>
      </s:c>
      <s:c r="D17" s="49"/>
      <s:c r="E17" s="50"/>
      <s:c r="F17" s="74"/>
      <s:c r="G17" s="79"/>
      <s:c r="H17" s="26"/>
      <s:c r="I17" s="80"/>
      <s:c r="J17" s="76"/>
      <s:c r="K17" s="26"/>
      <s:c r="L17" s="27"/>
      <s:c r="M17" s="79"/>
      <s:c r="N17" s="26"/>
      <s:c r="O17" s="80"/>
      <s:c r="P17" s="76"/>
      <s:c r="Q17" s="26"/>
      <s:c r="R17" s="27"/>
      <s:c r="S17" s="79"/>
      <s:c r="T17" s="26"/>
      <s:c r="U17" s="80"/>
      <s:c r="V17" s="76"/>
      <s:c r="W17" s="26"/>
      <s:c r="X17" s="27"/>
      <s:c r="Y17" s="79"/>
      <s:c r="Z17" s="26"/>
      <s:c r="AA17" s="80"/>
      <s:c r="AB17" s="76"/>
      <s:c r="AC17" s="26"/>
      <s:c r="AD17" s="27"/>
      <s:c r="AE17" s="79"/>
      <s:c r="AF17" s="26"/>
      <s:c r="AG17" s="80"/>
      <s:c r="AH17" s="76"/>
      <s:c r="AI17" s="26"/>
      <s:c r="AJ17" s="27"/>
      <s:c r="AK17" s="79"/>
      <s:c r="AL17" s="26"/>
      <s:c r="AM17" s="80"/>
      <s:c r="AN17" s="76"/>
      <s:c r="AO17" s="26"/>
      <s:c r="AP17" s="27"/>
      <s:c r="AQ17" s="79"/>
      <s:c r="AR17" s="26"/>
      <s:c r="AS17" s="80"/>
      <s:c r="AT17" s="76"/>
      <s:c r="AU17" s="26"/>
      <s:c r="AV17" s="27"/>
      <s:c r="AW17" s="79"/>
      <s:c r="AX17" s="26"/>
      <s:c r="AY17" s="80"/>
      <s:c r="AZ17" s="76"/>
      <s:c r="BA17" s="26"/>
      <s:c r="BB17" s="27"/>
      <s:c r="BC17" s="79"/>
      <s:c r="BD17" s="26"/>
      <s:c r="BE17" s="80"/>
      <s:c r="BF17" s="76"/>
      <s:c r="BG17" s="26"/>
      <s:c r="BH17" s="27"/>
      <s:c r="BI17" s="79"/>
      <s:c r="BJ17" s="26"/>
      <s:c r="BK17" s="80"/>
      <s:c r="BL17" s="76"/>
      <s:c r="BM17" s="26"/>
      <s:c r="BN17" s="27"/>
      <s:c r="BO17" s="79"/>
      <s:c r="BP17" s="26"/>
      <s:c r="BQ17" s="80"/>
      <s:c r="BR17" s="76"/>
      <s:c r="BS17" s="26"/>
      <s:c r="BT17" s="27"/>
      <s:c r="BU17" s="79"/>
      <s:c r="BV17" s="26"/>
      <s:c r="BW17" s="80"/>
      <s:c r="BX17" s="76"/>
      <s:c r="BY17" s="26"/>
      <s:c r="BZ17" s="27"/>
      <s:c r="CA17" s="79"/>
      <s:c r="CB17" s="26"/>
      <s:c r="CC17" s="80"/>
      <s:c r="CD17" s="76"/>
      <s:c r="CE17" s="26"/>
      <s:c r="CF17" s="27"/>
      <s:c r="CG17" s="79"/>
      <s:c r="CH17" s="26"/>
      <s:c r="CI17" s="80"/>
      <s:c r="CJ17" s="76"/>
      <s:c r="CK17" s="26"/>
      <s:c r="CL17" s="27"/>
      <s:c r="CM17" s="79"/>
      <s:c r="CN17" s="26"/>
      <s:c r="CO17" s="80"/>
      <s:c r="CP17" s="76"/>
      <s:c r="CQ17" s="26"/>
      <s:c r="CR17" s="27"/>
      <s:c r="CS17" s="62">
        <s:f>SUMIFS(D17:CR17,$D$3:$CR$3,"З")</s:f>
        <s:v>0</s:v>
      </s:c>
      <s:c r="CT17" s="63">
        <s:f>SUMIFS(D17:CR17,$D$3:$CR$3,"О")</s:f>
        <s:v>0</s:v>
      </s:c>
      <s:c r="CU17" s="63">
        <s:f>SUMIFS(D17:CR17,$D$3:$CR$3,"У")</s:f>
        <s:v>0</s:v>
      </s:c>
      <s:c r="CV17" s="28">
        <s:f>IF(C17="Да",CS17*$D$45+CT17*$D$46+CU17*$D$47,CS17*$C$45+CT17*$C$46+CU17*$C$47)</s:f>
        <s:v>0</s:v>
      </s:c>
      <s:c r="CW17" s="29">
        <s:f>IF(C17="Нет",CV17,"")</s:f>
        <s:v>0</s:v>
      </s:c>
      <s:c r="CX17" s="30" t="str">
        <s:f>IF(C17="Да",CV17,"")</s:f>
        <s:v/>
      </s:c>
      <s:c r="CY17" s="30" t="str">
        <s:f>IF(C17="Налич",CV17,"")</s:f>
        <s:v/>
      </s:c>
    </s:row>
    <s:row r="18" ht="21.75">
      <s:c r="A18" s="23" t="str">
        <s:f>IF(B18="","",COUNTA($B$4:B18))</s:f>
        <s:v/>
      </s:c>
      <s:c r="B18" s="24"/>
      <s:c r="C18" s="25" t="s">
        <s:v>18</s:v>
      </s:c>
      <s:c r="D18" s="49"/>
      <s:c r="E18" s="50"/>
      <s:c r="F18" s="74"/>
      <s:c r="G18" s="79"/>
      <s:c r="H18" s="26"/>
      <s:c r="I18" s="80"/>
      <s:c r="J18" s="76"/>
      <s:c r="K18" s="26"/>
      <s:c r="L18" s="27"/>
      <s:c r="M18" s="79"/>
      <s:c r="N18" s="26"/>
      <s:c r="O18" s="80"/>
      <s:c r="P18" s="76"/>
      <s:c r="Q18" s="26"/>
      <s:c r="R18" s="27"/>
      <s:c r="S18" s="79"/>
      <s:c r="T18" s="26"/>
      <s:c r="U18" s="80"/>
      <s:c r="V18" s="76"/>
      <s:c r="W18" s="26"/>
      <s:c r="X18" s="27"/>
      <s:c r="Y18" s="79"/>
      <s:c r="Z18" s="26"/>
      <s:c r="AA18" s="80"/>
      <s:c r="AB18" s="76"/>
      <s:c r="AC18" s="26"/>
      <s:c r="AD18" s="27"/>
      <s:c r="AE18" s="79"/>
      <s:c r="AF18" s="26"/>
      <s:c r="AG18" s="80"/>
      <s:c r="AH18" s="76"/>
      <s:c r="AI18" s="26"/>
      <s:c r="AJ18" s="27"/>
      <s:c r="AK18" s="79"/>
      <s:c r="AL18" s="26"/>
      <s:c r="AM18" s="80"/>
      <s:c r="AN18" s="76"/>
      <s:c r="AO18" s="26"/>
      <s:c r="AP18" s="27"/>
      <s:c r="AQ18" s="79"/>
      <s:c r="AR18" s="26"/>
      <s:c r="AS18" s="80"/>
      <s:c r="AT18" s="76"/>
      <s:c r="AU18" s="26"/>
      <s:c r="AV18" s="27"/>
      <s:c r="AW18" s="79"/>
      <s:c r="AX18" s="26"/>
      <s:c r="AY18" s="80"/>
      <s:c r="AZ18" s="76"/>
      <s:c r="BA18" s="26"/>
      <s:c r="BB18" s="27"/>
      <s:c r="BC18" s="79"/>
      <s:c r="BD18" s="26"/>
      <s:c r="BE18" s="80"/>
      <s:c r="BF18" s="76"/>
      <s:c r="BG18" s="26"/>
      <s:c r="BH18" s="27"/>
      <s:c r="BI18" s="79"/>
      <s:c r="BJ18" s="26"/>
      <s:c r="BK18" s="80"/>
      <s:c r="BL18" s="76"/>
      <s:c r="BM18" s="26"/>
      <s:c r="BN18" s="27"/>
      <s:c r="BO18" s="79"/>
      <s:c r="BP18" s="26"/>
      <s:c r="BQ18" s="80"/>
      <s:c r="BR18" s="76"/>
      <s:c r="BS18" s="26"/>
      <s:c r="BT18" s="27"/>
      <s:c r="BU18" s="79"/>
      <s:c r="BV18" s="26"/>
      <s:c r="BW18" s="80"/>
      <s:c r="BX18" s="76"/>
      <s:c r="BY18" s="26"/>
      <s:c r="BZ18" s="27"/>
      <s:c r="CA18" s="79"/>
      <s:c r="CB18" s="26"/>
      <s:c r="CC18" s="80"/>
      <s:c r="CD18" s="76"/>
      <s:c r="CE18" s="26"/>
      <s:c r="CF18" s="27"/>
      <s:c r="CG18" s="79"/>
      <s:c r="CH18" s="26"/>
      <s:c r="CI18" s="80"/>
      <s:c r="CJ18" s="76"/>
      <s:c r="CK18" s="26"/>
      <s:c r="CL18" s="27"/>
      <s:c r="CM18" s="79"/>
      <s:c r="CN18" s="26"/>
      <s:c r="CO18" s="80"/>
      <s:c r="CP18" s="76"/>
      <s:c r="CQ18" s="26"/>
      <s:c r="CR18" s="27"/>
      <s:c r="CS18" s="62">
        <s:f>SUMIFS(D18:CR18,$D$3:$CR$3,"З")</s:f>
        <s:v>0</s:v>
      </s:c>
      <s:c r="CT18" s="63">
        <s:f>SUMIFS(D18:CR18,$D$3:$CR$3,"О")</s:f>
        <s:v>0</s:v>
      </s:c>
      <s:c r="CU18" s="63">
        <s:f>SUMIFS(D18:CR18,$D$3:$CR$3,"У")</s:f>
        <s:v>0</s:v>
      </s:c>
      <s:c r="CV18" s="28">
        <s:f>IF(C18="Да",CS18*$D$45+CT18*$D$46+CU18*$D$47,CS18*$C$45+CT18*$C$46+CU18*$C$47)</s:f>
        <s:v>0</s:v>
      </s:c>
      <s:c r="CW18" s="29">
        <s:f>IF(C18="Нет",CV18,"")</s:f>
        <s:v>0</s:v>
      </s:c>
      <s:c r="CX18" s="30" t="str">
        <s:f>IF(C18="Да",CV18,"")</s:f>
        <s:v/>
      </s:c>
      <s:c r="CY18" s="30" t="str">
        <s:f>IF(C18="Налич",CV18,"")</s:f>
        <s:v/>
      </s:c>
    </s:row>
    <s:row r="19" ht="21.75">
      <s:c r="A19" s="23" t="str">
        <s:f>IF(B19="","",COUNTA($B$4:B19))</s:f>
        <s:v/>
      </s:c>
      <s:c r="B19" s="24"/>
      <s:c r="C19" s="25" t="s">
        <s:v>28</s:v>
      </s:c>
      <s:c r="D19" s="49"/>
      <s:c r="E19" s="50"/>
      <s:c r="F19" s="74"/>
      <s:c r="G19" s="79"/>
      <s:c r="H19" s="26"/>
      <s:c r="I19" s="80"/>
      <s:c r="J19" s="76"/>
      <s:c r="K19" s="26"/>
      <s:c r="L19" s="27"/>
      <s:c r="M19" s="79"/>
      <s:c r="N19" s="26"/>
      <s:c r="O19" s="80"/>
      <s:c r="P19" s="76"/>
      <s:c r="Q19" s="26"/>
      <s:c r="R19" s="27"/>
      <s:c r="S19" s="79"/>
      <s:c r="T19" s="26"/>
      <s:c r="U19" s="80"/>
      <s:c r="V19" s="76"/>
      <s:c r="W19" s="26"/>
      <s:c r="X19" s="27"/>
      <s:c r="Y19" s="79"/>
      <s:c r="Z19" s="26"/>
      <s:c r="AA19" s="80"/>
      <s:c r="AB19" s="76"/>
      <s:c r="AC19" s="26"/>
      <s:c r="AD19" s="27"/>
      <s:c r="AE19" s="79"/>
      <s:c r="AF19" s="26"/>
      <s:c r="AG19" s="80"/>
      <s:c r="AH19" s="76"/>
      <s:c r="AI19" s="26"/>
      <s:c r="AJ19" s="27"/>
      <s:c r="AK19" s="79"/>
      <s:c r="AL19" s="26"/>
      <s:c r="AM19" s="80"/>
      <s:c r="AN19" s="76"/>
      <s:c r="AO19" s="26"/>
      <s:c r="AP19" s="27"/>
      <s:c r="AQ19" s="79"/>
      <s:c r="AR19" s="26"/>
      <s:c r="AS19" s="80"/>
      <s:c r="AT19" s="76"/>
      <s:c r="AU19" s="26"/>
      <s:c r="AV19" s="27"/>
      <s:c r="AW19" s="79"/>
      <s:c r="AX19" s="26"/>
      <s:c r="AY19" s="80"/>
      <s:c r="AZ19" s="76"/>
      <s:c r="BA19" s="26"/>
      <s:c r="BB19" s="27"/>
      <s:c r="BC19" s="79"/>
      <s:c r="BD19" s="26"/>
      <s:c r="BE19" s="80"/>
      <s:c r="BF19" s="76"/>
      <s:c r="BG19" s="26"/>
      <s:c r="BH19" s="27"/>
      <s:c r="BI19" s="79"/>
      <s:c r="BJ19" s="26"/>
      <s:c r="BK19" s="80"/>
      <s:c r="BL19" s="76"/>
      <s:c r="BM19" s="26"/>
      <s:c r="BN19" s="27"/>
      <s:c r="BO19" s="79"/>
      <s:c r="BP19" s="26"/>
      <s:c r="BQ19" s="80"/>
      <s:c r="BR19" s="76"/>
      <s:c r="BS19" s="26"/>
      <s:c r="BT19" s="27"/>
      <s:c r="BU19" s="79"/>
      <s:c r="BV19" s="26"/>
      <s:c r="BW19" s="80"/>
      <s:c r="BX19" s="76"/>
      <s:c r="BY19" s="26"/>
      <s:c r="BZ19" s="27"/>
      <s:c r="CA19" s="79"/>
      <s:c r="CB19" s="26"/>
      <s:c r="CC19" s="80"/>
      <s:c r="CD19" s="76"/>
      <s:c r="CE19" s="26"/>
      <s:c r="CF19" s="27"/>
      <s:c r="CG19" s="79"/>
      <s:c r="CH19" s="26"/>
      <s:c r="CI19" s="80"/>
      <s:c r="CJ19" s="76"/>
      <s:c r="CK19" s="26"/>
      <s:c r="CL19" s="27"/>
      <s:c r="CM19" s="79"/>
      <s:c r="CN19" s="26"/>
      <s:c r="CO19" s="80"/>
      <s:c r="CP19" s="76"/>
      <s:c r="CQ19" s="26"/>
      <s:c r="CR19" s="27"/>
      <s:c r="CS19" s="62">
        <s:f>SUMIFS(D19:CR19,$D$3:$CR$3,"З")</s:f>
        <s:v>0</s:v>
      </s:c>
      <s:c r="CT19" s="63">
        <s:f>SUMIFS(D19:CR19,$D$3:$CR$3,"О")</s:f>
        <s:v>0</s:v>
      </s:c>
      <s:c r="CU19" s="63">
        <s:f>SUMIFS(D19:CR19,$D$3:$CR$3,"У")</s:f>
        <s:v>0</s:v>
      </s:c>
      <s:c r="CV19" s="28">
        <s:f>IF(C19="Да",CS19*$D$45+CT19*$D$46+CU19*$D$47,CS19*$C$45+CT19*$C$46+CU19*$C$47)</s:f>
        <s:v>0</s:v>
      </s:c>
      <s:c r="CW19" s="29" t="str">
        <s:f>IF(C19="Нет",CV19,"")</s:f>
        <s:v/>
      </s:c>
      <s:c r="CX19" s="30" t="str">
        <s:f>IF(C19="Да",CV19,"")</s:f>
        <s:v/>
      </s:c>
      <s:c r="CY19" s="30">
        <s:f>IF(C19="Налич",CV19,"")</s:f>
        <s:v>0</s:v>
      </s:c>
    </s:row>
    <s:row r="20" ht="21.75">
      <s:c r="A20" s="23" t="str">
        <s:f>IF(B20="","",COUNTA($B$4:B20))</s:f>
        <s:v/>
      </s:c>
      <s:c r="B20" s="24"/>
      <s:c r="C20" s="25" t="s">
        <s:v>28</s:v>
      </s:c>
      <s:c r="D20" s="49"/>
      <s:c r="E20" s="50"/>
      <s:c r="F20" s="74"/>
      <s:c r="G20" s="79"/>
      <s:c r="H20" s="26"/>
      <s:c r="I20" s="80"/>
      <s:c r="J20" s="76"/>
      <s:c r="K20" s="26"/>
      <s:c r="L20" s="27"/>
      <s:c r="M20" s="79"/>
      <s:c r="N20" s="26"/>
      <s:c r="O20" s="80"/>
      <s:c r="P20" s="76"/>
      <s:c r="Q20" s="26"/>
      <s:c r="R20" s="27"/>
      <s:c r="S20" s="79"/>
      <s:c r="T20" s="26"/>
      <s:c r="U20" s="80"/>
      <s:c r="V20" s="76"/>
      <s:c r="W20" s="26"/>
      <s:c r="X20" s="27"/>
      <s:c r="Y20" s="79"/>
      <s:c r="Z20" s="26"/>
      <s:c r="AA20" s="80"/>
      <s:c r="AB20" s="76"/>
      <s:c r="AC20" s="26"/>
      <s:c r="AD20" s="27"/>
      <s:c r="AE20" s="79"/>
      <s:c r="AF20" s="26"/>
      <s:c r="AG20" s="80"/>
      <s:c r="AH20" s="76"/>
      <s:c r="AI20" s="26"/>
      <s:c r="AJ20" s="27"/>
      <s:c r="AK20" s="79"/>
      <s:c r="AL20" s="26"/>
      <s:c r="AM20" s="80"/>
      <s:c r="AN20" s="76"/>
      <s:c r="AO20" s="26"/>
      <s:c r="AP20" s="27"/>
      <s:c r="AQ20" s="79"/>
      <s:c r="AR20" s="26"/>
      <s:c r="AS20" s="80"/>
      <s:c r="AT20" s="76"/>
      <s:c r="AU20" s="26"/>
      <s:c r="AV20" s="27"/>
      <s:c r="AW20" s="79"/>
      <s:c r="AX20" s="26"/>
      <s:c r="AY20" s="80"/>
      <s:c r="AZ20" s="76"/>
      <s:c r="BA20" s="26"/>
      <s:c r="BB20" s="27"/>
      <s:c r="BC20" s="79"/>
      <s:c r="BD20" s="26"/>
      <s:c r="BE20" s="80"/>
      <s:c r="BF20" s="76"/>
      <s:c r="BG20" s="26"/>
      <s:c r="BH20" s="27"/>
      <s:c r="BI20" s="79"/>
      <s:c r="BJ20" s="26"/>
      <s:c r="BK20" s="80"/>
      <s:c r="BL20" s="76"/>
      <s:c r="BM20" s="26"/>
      <s:c r="BN20" s="27"/>
      <s:c r="BO20" s="79"/>
      <s:c r="BP20" s="26"/>
      <s:c r="BQ20" s="80"/>
      <s:c r="BR20" s="76"/>
      <s:c r="BS20" s="26"/>
      <s:c r="BT20" s="27"/>
      <s:c r="BU20" s="79"/>
      <s:c r="BV20" s="26"/>
      <s:c r="BW20" s="80"/>
      <s:c r="BX20" s="76"/>
      <s:c r="BY20" s="26"/>
      <s:c r="BZ20" s="27"/>
      <s:c r="CA20" s="79"/>
      <s:c r="CB20" s="26"/>
      <s:c r="CC20" s="80"/>
      <s:c r="CD20" s="76"/>
      <s:c r="CE20" s="26"/>
      <s:c r="CF20" s="27"/>
      <s:c r="CG20" s="79"/>
      <s:c r="CH20" s="26"/>
      <s:c r="CI20" s="80"/>
      <s:c r="CJ20" s="76"/>
      <s:c r="CK20" s="26"/>
      <s:c r="CL20" s="27"/>
      <s:c r="CM20" s="79"/>
      <s:c r="CN20" s="26"/>
      <s:c r="CO20" s="80"/>
      <s:c r="CP20" s="76"/>
      <s:c r="CQ20" s="26"/>
      <s:c r="CR20" s="27"/>
      <s:c r="CS20" s="62">
        <s:f>SUMIFS(D20:CR20,$D$3:$CR$3,"З")</s:f>
        <s:v>0</s:v>
      </s:c>
      <s:c r="CT20" s="63">
        <s:f>SUMIFS(D20:CR20,$D$3:$CR$3,"О")</s:f>
        <s:v>0</s:v>
      </s:c>
      <s:c r="CU20" s="63">
        <s:f>SUMIFS(D20:CR20,$D$3:$CR$3,"У")</s:f>
        <s:v>0</s:v>
      </s:c>
      <s:c r="CV20" s="28">
        <s:f>IF(C20="Да",CS20*$D$45+CT20*$D$46+CU20*$D$47,CS20*$C$45+CT20*$C$46+CU20*$C$47)</s:f>
        <s:v>0</s:v>
      </s:c>
      <s:c r="CW20" s="29" t="str">
        <s:f>IF(C20="Нет",CV20,"")</s:f>
        <s:v/>
      </s:c>
      <s:c r="CX20" s="30" t="str">
        <s:f>IF(C20="Да",CV20,"")</s:f>
        <s:v/>
      </s:c>
      <s:c r="CY20" s="30">
        <s:f>IF(C20="Налич",CV20,"")</s:f>
        <s:v>0</s:v>
      </s:c>
    </s:row>
    <s:row r="21" ht="21.75">
      <s:c r="A21" s="23" t="str">
        <s:f>IF(B21="","",COUNTA($B$4:B21))</s:f>
        <s:v/>
      </s:c>
      <s:c r="B21" s="33"/>
      <s:c r="C21" s="34" t="s">
        <s:v>17</s:v>
      </s:c>
      <s:c r="D21" s="53"/>
      <s:c r="E21" s="54"/>
      <s:c r="F21" s="74"/>
      <s:c r="G21" s="79"/>
      <s:c r="H21" s="26"/>
      <s:c r="I21" s="80"/>
      <s:c r="J21" s="76"/>
      <s:c r="K21" s="26"/>
      <s:c r="L21" s="27"/>
      <s:c r="M21" s="79"/>
      <s:c r="N21" s="26"/>
      <s:c r="O21" s="80"/>
      <s:c r="P21" s="76"/>
      <s:c r="Q21" s="26"/>
      <s:c r="R21" s="27"/>
      <s:c r="S21" s="79"/>
      <s:c r="T21" s="26"/>
      <s:c r="U21" s="80"/>
      <s:c r="V21" s="76"/>
      <s:c r="W21" s="26"/>
      <s:c r="X21" s="27"/>
      <s:c r="Y21" s="79"/>
      <s:c r="Z21" s="26"/>
      <s:c r="AA21" s="80"/>
      <s:c r="AB21" s="76"/>
      <s:c r="AC21" s="26"/>
      <s:c r="AD21" s="27"/>
      <s:c r="AE21" s="79"/>
      <s:c r="AF21" s="26"/>
      <s:c r="AG21" s="80"/>
      <s:c r="AH21" s="76"/>
      <s:c r="AI21" s="26"/>
      <s:c r="AJ21" s="27"/>
      <s:c r="AK21" s="79"/>
      <s:c r="AL21" s="26"/>
      <s:c r="AM21" s="80"/>
      <s:c r="AN21" s="76"/>
      <s:c r="AO21" s="26"/>
      <s:c r="AP21" s="27"/>
      <s:c r="AQ21" s="79"/>
      <s:c r="AR21" s="26"/>
      <s:c r="AS21" s="80"/>
      <s:c r="AT21" s="76"/>
      <s:c r="AU21" s="26"/>
      <s:c r="AV21" s="27"/>
      <s:c r="AW21" s="79"/>
      <s:c r="AX21" s="26"/>
      <s:c r="AY21" s="80"/>
      <s:c r="AZ21" s="76"/>
      <s:c r="BA21" s="26"/>
      <s:c r="BB21" s="27"/>
      <s:c r="BC21" s="79"/>
      <s:c r="BD21" s="26"/>
      <s:c r="BE21" s="80"/>
      <s:c r="BF21" s="76"/>
      <s:c r="BG21" s="26"/>
      <s:c r="BH21" s="27"/>
      <s:c r="BI21" s="79"/>
      <s:c r="BJ21" s="26"/>
      <s:c r="BK21" s="80"/>
      <s:c r="BL21" s="76"/>
      <s:c r="BM21" s="26"/>
      <s:c r="BN21" s="27"/>
      <s:c r="BO21" s="79"/>
      <s:c r="BP21" s="26"/>
      <s:c r="BQ21" s="80"/>
      <s:c r="BR21" s="76"/>
      <s:c r="BS21" s="26"/>
      <s:c r="BT21" s="27"/>
      <s:c r="BU21" s="79"/>
      <s:c r="BV21" s="26"/>
      <s:c r="BW21" s="80"/>
      <s:c r="BX21" s="76"/>
      <s:c r="BY21" s="26"/>
      <s:c r="BZ21" s="27"/>
      <s:c r="CA21" s="79"/>
      <s:c r="CB21" s="26"/>
      <s:c r="CC21" s="80"/>
      <s:c r="CD21" s="76"/>
      <s:c r="CE21" s="26"/>
      <s:c r="CF21" s="27"/>
      <s:c r="CG21" s="79"/>
      <s:c r="CH21" s="26"/>
      <s:c r="CI21" s="80"/>
      <s:c r="CJ21" s="76"/>
      <s:c r="CK21" s="26"/>
      <s:c r="CL21" s="27"/>
      <s:c r="CM21" s="79"/>
      <s:c r="CN21" s="26"/>
      <s:c r="CO21" s="80"/>
      <s:c r="CP21" s="76"/>
      <s:c r="CQ21" s="26"/>
      <s:c r="CR21" s="27"/>
      <s:c r="CS21" s="62">
        <s:f>SUMIFS(D21:CR21,$D$3:$CR$3,"З")</s:f>
        <s:v>0</s:v>
      </s:c>
      <s:c r="CT21" s="63">
        <s:f>SUMIFS(D21:CR21,$D$3:$CR$3,"О")</s:f>
        <s:v>0</s:v>
      </s:c>
      <s:c r="CU21" s="63">
        <s:f>SUMIFS(D21:CR21,$D$3:$CR$3,"У")</s:f>
        <s:v>0</s:v>
      </s:c>
      <s:c r="CV21" s="28">
        <s:f>IF(C21="Да",CS21*$D$45+CT21*$D$46+CU21*$D$47,CS21*$C$45+CT21*$C$46+CU21*$C$47)</s:f>
        <s:v>0</s:v>
      </s:c>
      <s:c r="CW21" s="29" t="str">
        <s:f>IF(C21="Нет",CV21,"")</s:f>
        <s:v/>
      </s:c>
      <s:c r="CX21" s="30">
        <s:f>IF(C21="Да",CV21,"")</s:f>
        <s:v>0</s:v>
      </s:c>
      <s:c r="CY21" s="30" t="str">
        <s:f>IF(C21="Налич",CV21,"")</s:f>
        <s:v/>
      </s:c>
    </s:row>
    <s:row r="22" ht="21.75">
      <s:c r="A22" s="23" t="str">
        <s:f>IF(B22="","",COUNTA($B$4:B22))</s:f>
        <s:v/>
      </s:c>
      <s:c r="B22" s="24"/>
      <s:c r="C22" s="25" t="s">
        <s:v>18</s:v>
      </s:c>
      <s:c r="D22" s="49"/>
      <s:c r="E22" s="50"/>
      <s:c r="F22" s="74"/>
      <s:c r="G22" s="79"/>
      <s:c r="H22" s="26"/>
      <s:c r="I22" s="80"/>
      <s:c r="J22" s="76"/>
      <s:c r="K22" s="26"/>
      <s:c r="L22" s="27"/>
      <s:c r="M22" s="79"/>
      <s:c r="N22" s="26"/>
      <s:c r="O22" s="80"/>
      <s:c r="P22" s="76"/>
      <s:c r="Q22" s="26"/>
      <s:c r="R22" s="27"/>
      <s:c r="S22" s="79"/>
      <s:c r="T22" s="26"/>
      <s:c r="U22" s="80"/>
      <s:c r="V22" s="76"/>
      <s:c r="W22" s="26"/>
      <s:c r="X22" s="27"/>
      <s:c r="Y22" s="79"/>
      <s:c r="Z22" s="26"/>
      <s:c r="AA22" s="80"/>
      <s:c r="AB22" s="76"/>
      <s:c r="AC22" s="26"/>
      <s:c r="AD22" s="27"/>
      <s:c r="AE22" s="79"/>
      <s:c r="AF22" s="26"/>
      <s:c r="AG22" s="80"/>
      <s:c r="AH22" s="76"/>
      <s:c r="AI22" s="26"/>
      <s:c r="AJ22" s="27"/>
      <s:c r="AK22" s="79"/>
      <s:c r="AL22" s="26"/>
      <s:c r="AM22" s="80"/>
      <s:c r="AN22" s="76"/>
      <s:c r="AO22" s="26"/>
      <s:c r="AP22" s="27"/>
      <s:c r="AQ22" s="79"/>
      <s:c r="AR22" s="26"/>
      <s:c r="AS22" s="80"/>
      <s:c r="AT22" s="76"/>
      <s:c r="AU22" s="26"/>
      <s:c r="AV22" s="27"/>
      <s:c r="AW22" s="79"/>
      <s:c r="AX22" s="26"/>
      <s:c r="AY22" s="80"/>
      <s:c r="AZ22" s="76"/>
      <s:c r="BA22" s="26"/>
      <s:c r="BB22" s="27"/>
      <s:c r="BC22" s="79"/>
      <s:c r="BD22" s="26"/>
      <s:c r="BE22" s="80"/>
      <s:c r="BF22" s="76"/>
      <s:c r="BG22" s="26"/>
      <s:c r="BH22" s="27"/>
      <s:c r="BI22" s="79"/>
      <s:c r="BJ22" s="26"/>
      <s:c r="BK22" s="80"/>
      <s:c r="BL22" s="76"/>
      <s:c r="BM22" s="26"/>
      <s:c r="BN22" s="27"/>
      <s:c r="BO22" s="79"/>
      <s:c r="BP22" s="26"/>
      <s:c r="BQ22" s="80"/>
      <s:c r="BR22" s="76"/>
      <s:c r="BS22" s="26"/>
      <s:c r="BT22" s="27"/>
      <s:c r="BU22" s="79"/>
      <s:c r="BV22" s="26"/>
      <s:c r="BW22" s="80"/>
      <s:c r="BX22" s="76"/>
      <s:c r="BY22" s="26"/>
      <s:c r="BZ22" s="27"/>
      <s:c r="CA22" s="79"/>
      <s:c r="CB22" s="26"/>
      <s:c r="CC22" s="80"/>
      <s:c r="CD22" s="76"/>
      <s:c r="CE22" s="26"/>
      <s:c r="CF22" s="27"/>
      <s:c r="CG22" s="79"/>
      <s:c r="CH22" s="26"/>
      <s:c r="CI22" s="80"/>
      <s:c r="CJ22" s="76"/>
      <s:c r="CK22" s="26"/>
      <s:c r="CL22" s="27"/>
      <s:c r="CM22" s="79"/>
      <s:c r="CN22" s="26"/>
      <s:c r="CO22" s="80"/>
      <s:c r="CP22" s="76"/>
      <s:c r="CQ22" s="26"/>
      <s:c r="CR22" s="27"/>
      <s:c r="CS22" s="62">
        <s:f>SUMIFS(D22:CR22,$D$3:$CR$3,"З")</s:f>
        <s:v>0</s:v>
      </s:c>
      <s:c r="CT22" s="63">
        <s:f>SUMIFS(D22:CR22,$D$3:$CR$3,"О")</s:f>
        <s:v>0</s:v>
      </s:c>
      <s:c r="CU22" s="63">
        <s:f>SUMIFS(D22:CR22,$D$3:$CR$3,"У")</s:f>
        <s:v>0</s:v>
      </s:c>
      <s:c r="CV22" s="28">
        <s:f>IF(C22="Да",CS22*$D$45+CT22*$D$46+CU22*$D$47,CS22*$C$45+CT22*$C$46+CU22*$C$47)</s:f>
        <s:v>0</s:v>
      </s:c>
      <s:c r="CW22" s="29">
        <s:f>IF(C22="Нет",CV22,"")</s:f>
        <s:v>0</s:v>
      </s:c>
      <s:c r="CX22" s="30" t="str">
        <s:f>IF(C22="Да",CV22,"")</s:f>
        <s:v/>
      </s:c>
      <s:c r="CY22" s="30" t="str">
        <s:f>IF(C22="Налич",CV22,"")</s:f>
        <s:v/>
      </s:c>
    </s:row>
    <s:row r="23" ht="21.75">
      <s:c r="A23" s="23" t="str">
        <s:f>IF(B23="","",COUNTA($B$4:B23))</s:f>
        <s:v/>
      </s:c>
      <s:c r="B23" s="33"/>
      <s:c r="C23" s="34" t="s">
        <s:v>18</s:v>
      </s:c>
      <s:c r="D23" s="53"/>
      <s:c r="E23" s="54"/>
      <s:c r="F23" s="74"/>
      <s:c r="G23" s="79"/>
      <s:c r="H23" s="26"/>
      <s:c r="I23" s="80"/>
      <s:c r="J23" s="76"/>
      <s:c r="K23" s="26"/>
      <s:c r="L23" s="27"/>
      <s:c r="M23" s="79"/>
      <s:c r="N23" s="26"/>
      <s:c r="O23" s="80"/>
      <s:c r="P23" s="76"/>
      <s:c r="Q23" s="26"/>
      <s:c r="R23" s="27"/>
      <s:c r="S23" s="79"/>
      <s:c r="T23" s="26"/>
      <s:c r="U23" s="80"/>
      <s:c r="V23" s="76"/>
      <s:c r="W23" s="26"/>
      <s:c r="X23" s="27"/>
      <s:c r="Y23" s="79"/>
      <s:c r="Z23" s="26"/>
      <s:c r="AA23" s="80"/>
      <s:c r="AB23" s="76"/>
      <s:c r="AC23" s="26"/>
      <s:c r="AD23" s="27"/>
      <s:c r="AE23" s="79"/>
      <s:c r="AF23" s="26"/>
      <s:c r="AG23" s="80"/>
      <s:c r="AH23" s="76"/>
      <s:c r="AI23" s="26"/>
      <s:c r="AJ23" s="27"/>
      <s:c r="AK23" s="79"/>
      <s:c r="AL23" s="26"/>
      <s:c r="AM23" s="80"/>
      <s:c r="AN23" s="76"/>
      <s:c r="AO23" s="26"/>
      <s:c r="AP23" s="27"/>
      <s:c r="AQ23" s="79"/>
      <s:c r="AR23" s="26"/>
      <s:c r="AS23" s="80"/>
      <s:c r="AT23" s="76"/>
      <s:c r="AU23" s="26"/>
      <s:c r="AV23" s="27"/>
      <s:c r="AW23" s="79"/>
      <s:c r="AX23" s="26"/>
      <s:c r="AY23" s="80"/>
      <s:c r="AZ23" s="76"/>
      <s:c r="BA23" s="26"/>
      <s:c r="BB23" s="27"/>
      <s:c r="BC23" s="79"/>
      <s:c r="BD23" s="26"/>
      <s:c r="BE23" s="80"/>
      <s:c r="BF23" s="76"/>
      <s:c r="BG23" s="26"/>
      <s:c r="BH23" s="27"/>
      <s:c r="BI23" s="79"/>
      <s:c r="BJ23" s="26"/>
      <s:c r="BK23" s="80"/>
      <s:c r="BL23" s="76"/>
      <s:c r="BM23" s="26"/>
      <s:c r="BN23" s="27"/>
      <s:c r="BO23" s="79"/>
      <s:c r="BP23" s="26"/>
      <s:c r="BQ23" s="80"/>
      <s:c r="BR23" s="76"/>
      <s:c r="BS23" s="26"/>
      <s:c r="BT23" s="27"/>
      <s:c r="BU23" s="79"/>
      <s:c r="BV23" s="26"/>
      <s:c r="BW23" s="80"/>
      <s:c r="BX23" s="76"/>
      <s:c r="BY23" s="26"/>
      <s:c r="BZ23" s="27"/>
      <s:c r="CA23" s="79"/>
      <s:c r="CB23" s="26"/>
      <s:c r="CC23" s="80"/>
      <s:c r="CD23" s="76"/>
      <s:c r="CE23" s="26"/>
      <s:c r="CF23" s="27"/>
      <s:c r="CG23" s="79"/>
      <s:c r="CH23" s="26"/>
      <s:c r="CI23" s="80"/>
      <s:c r="CJ23" s="76"/>
      <s:c r="CK23" s="26"/>
      <s:c r="CL23" s="27"/>
      <s:c r="CM23" s="79"/>
      <s:c r="CN23" s="26"/>
      <s:c r="CO23" s="80"/>
      <s:c r="CP23" s="76"/>
      <s:c r="CQ23" s="26"/>
      <s:c r="CR23" s="27"/>
      <s:c r="CS23" s="62">
        <s:f>SUMIFS(D23:CR23,$D$3:$CR$3,"З")</s:f>
        <s:v>0</s:v>
      </s:c>
      <s:c r="CT23" s="63">
        <s:f>SUMIFS(D23:CR23,$D$3:$CR$3,"О")</s:f>
        <s:v>0</s:v>
      </s:c>
      <s:c r="CU23" s="63">
        <s:f>SUMIFS(D23:CR23,$D$3:$CR$3,"У")</s:f>
        <s:v>0</s:v>
      </s:c>
      <s:c r="CV23" s="28">
        <s:f>IF(C23="Да",CS23*$D$45+CT23*$D$46+CU23*$D$47,CS23*$C$45+CT23*$C$46+CU23*$C$47)</s:f>
        <s:v>0</s:v>
      </s:c>
      <s:c r="CW23" s="29">
        <s:f>IF(C23="Нет",CV23,"")</s:f>
        <s:v>0</s:v>
      </s:c>
      <s:c r="CX23" s="30" t="str">
        <s:f>IF(C23="Да",CV23,"")</s:f>
        <s:v/>
      </s:c>
      <s:c r="CY23" s="30" t="str">
        <s:f>IF(C23="Налич",CV23,"")</s:f>
        <s:v/>
      </s:c>
    </s:row>
    <s:row r="24" ht="21.75">
      <s:c r="A24" s="23" t="str">
        <s:f>IF(B24="","",COUNTA($B$4:B24))</s:f>
        <s:v/>
      </s:c>
      <s:c r="B24" s="33"/>
      <s:c r="C24" s="34"/>
      <s:c r="D24" s="53"/>
      <s:c r="E24" s="54"/>
      <s:c r="F24" s="74"/>
      <s:c r="G24" s="79"/>
      <s:c r="H24" s="26"/>
      <s:c r="I24" s="80"/>
      <s:c r="J24" s="76"/>
      <s:c r="K24" s="26"/>
      <s:c r="L24" s="27"/>
      <s:c r="M24" s="79"/>
      <s:c r="N24" s="26"/>
      <s:c r="O24" s="80"/>
      <s:c r="P24" s="76"/>
      <s:c r="Q24" s="26"/>
      <s:c r="R24" s="27"/>
      <s:c r="S24" s="79"/>
      <s:c r="T24" s="26"/>
      <s:c r="U24" s="80"/>
      <s:c r="V24" s="76"/>
      <s:c r="W24" s="26"/>
      <s:c r="X24" s="27"/>
      <s:c r="Y24" s="79"/>
      <s:c r="Z24" s="26"/>
      <s:c r="AA24" s="80"/>
      <s:c r="AB24" s="76"/>
      <s:c r="AC24" s="26"/>
      <s:c r="AD24" s="27"/>
      <s:c r="AE24" s="79"/>
      <s:c r="AF24" s="26"/>
      <s:c r="AG24" s="80"/>
      <s:c r="AH24" s="76"/>
      <s:c r="AI24" s="26"/>
      <s:c r="AJ24" s="27"/>
      <s:c r="AK24" s="79"/>
      <s:c r="AL24" s="26"/>
      <s:c r="AM24" s="80"/>
      <s:c r="AN24" s="76"/>
      <s:c r="AO24" s="26"/>
      <s:c r="AP24" s="27"/>
      <s:c r="AQ24" s="79"/>
      <s:c r="AR24" s="26"/>
      <s:c r="AS24" s="80"/>
      <s:c r="AT24" s="76"/>
      <s:c r="AU24" s="26"/>
      <s:c r="AV24" s="27"/>
      <s:c r="AW24" s="79"/>
      <s:c r="AX24" s="26"/>
      <s:c r="AY24" s="80"/>
      <s:c r="AZ24" s="76"/>
      <s:c r="BA24" s="26"/>
      <s:c r="BB24" s="27"/>
      <s:c r="BC24" s="79"/>
      <s:c r="BD24" s="26"/>
      <s:c r="BE24" s="80"/>
      <s:c r="BF24" s="76"/>
      <s:c r="BG24" s="26"/>
      <s:c r="BH24" s="27"/>
      <s:c r="BI24" s="79"/>
      <s:c r="BJ24" s="26"/>
      <s:c r="BK24" s="80"/>
      <s:c r="BL24" s="76"/>
      <s:c r="BM24" s="26"/>
      <s:c r="BN24" s="27"/>
      <s:c r="BO24" s="79"/>
      <s:c r="BP24" s="26"/>
      <s:c r="BQ24" s="80"/>
      <s:c r="BR24" s="76"/>
      <s:c r="BS24" s="26"/>
      <s:c r="BT24" s="27"/>
      <s:c r="BU24" s="79"/>
      <s:c r="BV24" s="26"/>
      <s:c r="BW24" s="80"/>
      <s:c r="BX24" s="76"/>
      <s:c r="BY24" s="26"/>
      <s:c r="BZ24" s="27"/>
      <s:c r="CA24" s="79"/>
      <s:c r="CB24" s="26"/>
      <s:c r="CC24" s="80"/>
      <s:c r="CD24" s="76"/>
      <s:c r="CE24" s="26"/>
      <s:c r="CF24" s="27"/>
      <s:c r="CG24" s="79"/>
      <s:c r="CH24" s="26"/>
      <s:c r="CI24" s="80"/>
      <s:c r="CJ24" s="76"/>
      <s:c r="CK24" s="26"/>
      <s:c r="CL24" s="27"/>
      <s:c r="CM24" s="79"/>
      <s:c r="CN24" s="26"/>
      <s:c r="CO24" s="80"/>
      <s:c r="CP24" s="76"/>
      <s:c r="CQ24" s="26"/>
      <s:c r="CR24" s="27"/>
      <s:c r="CS24" s="62">
        <s:f>SUMIFS(D24:CR24,$D$3:$CR$3,"З")</s:f>
        <s:v>0</s:v>
      </s:c>
      <s:c r="CT24" s="63">
        <s:f>SUMIFS(D24:CR24,$D$3:$CR$3,"О")</s:f>
        <s:v>0</s:v>
      </s:c>
      <s:c r="CU24" s="63">
        <s:f>SUMIFS(D24:CR24,$D$3:$CR$3,"У")</s:f>
        <s:v>0</s:v>
      </s:c>
      <s:c r="CV24" s="28">
        <s:f>IF(C24="Да",CS24*$D$45+CT24*$D$46+CU24*$D$47,CS24*$C$45+CT24*$C$46+CU24*$C$47)</s:f>
        <s:v>0</s:v>
      </s:c>
      <s:c r="CW24" s="29" t="str">
        <s:f>IF(C24="Нет",CV24,"")</s:f>
        <s:v/>
      </s:c>
      <s:c r="CX24" s="30" t="str">
        <s:f>IF(C24="Да",CV24,"")</s:f>
        <s:v/>
      </s:c>
      <s:c r="CY24" s="30" t="str">
        <s:f>IF(C24="Налич",CV24,"")</s:f>
        <s:v/>
      </s:c>
    </s:row>
    <s:row r="25" ht="21.75">
      <s:c r="A25" s="23" t="str">
        <s:f>IF(B25="","",COUNTA($B$4:B25))</s:f>
        <s:v/>
      </s:c>
      <s:c r="B25" s="24"/>
      <s:c r="C25" s="25"/>
      <s:c r="D25" s="49"/>
      <s:c r="E25" s="50"/>
      <s:c r="F25" s="74"/>
      <s:c r="G25" s="79"/>
      <s:c r="H25" s="26"/>
      <s:c r="I25" s="80"/>
      <s:c r="J25" s="76"/>
      <s:c r="K25" s="26"/>
      <s:c r="L25" s="27"/>
      <s:c r="M25" s="79"/>
      <s:c r="N25" s="26"/>
      <s:c r="O25" s="80"/>
      <s:c r="P25" s="76"/>
      <s:c r="Q25" s="26"/>
      <s:c r="R25" s="27"/>
      <s:c r="S25" s="79"/>
      <s:c r="T25" s="26"/>
      <s:c r="U25" s="80"/>
      <s:c r="V25" s="76"/>
      <s:c r="W25" s="26"/>
      <s:c r="X25" s="27"/>
      <s:c r="Y25" s="79"/>
      <s:c r="Z25" s="26"/>
      <s:c r="AA25" s="80"/>
      <s:c r="AB25" s="76"/>
      <s:c r="AC25" s="26"/>
      <s:c r="AD25" s="27"/>
      <s:c r="AE25" s="79"/>
      <s:c r="AF25" s="26"/>
      <s:c r="AG25" s="80"/>
      <s:c r="AH25" s="76"/>
      <s:c r="AI25" s="26"/>
      <s:c r="AJ25" s="27"/>
      <s:c r="AK25" s="79"/>
      <s:c r="AL25" s="26"/>
      <s:c r="AM25" s="80"/>
      <s:c r="AN25" s="76"/>
      <s:c r="AO25" s="26"/>
      <s:c r="AP25" s="27"/>
      <s:c r="AQ25" s="79"/>
      <s:c r="AR25" s="26"/>
      <s:c r="AS25" s="80"/>
      <s:c r="AT25" s="76"/>
      <s:c r="AU25" s="26"/>
      <s:c r="AV25" s="27"/>
      <s:c r="AW25" s="79"/>
      <s:c r="AX25" s="26"/>
      <s:c r="AY25" s="80"/>
      <s:c r="AZ25" s="76"/>
      <s:c r="BA25" s="26"/>
      <s:c r="BB25" s="27"/>
      <s:c r="BC25" s="79"/>
      <s:c r="BD25" s="26"/>
      <s:c r="BE25" s="80"/>
      <s:c r="BF25" s="76"/>
      <s:c r="BG25" s="26"/>
      <s:c r="BH25" s="27"/>
      <s:c r="BI25" s="79"/>
      <s:c r="BJ25" s="26"/>
      <s:c r="BK25" s="80"/>
      <s:c r="BL25" s="76"/>
      <s:c r="BM25" s="26"/>
      <s:c r="BN25" s="27"/>
      <s:c r="BO25" s="79"/>
      <s:c r="BP25" s="26"/>
      <s:c r="BQ25" s="80"/>
      <s:c r="BR25" s="76"/>
      <s:c r="BS25" s="26"/>
      <s:c r="BT25" s="27"/>
      <s:c r="BU25" s="79"/>
      <s:c r="BV25" s="26"/>
      <s:c r="BW25" s="80"/>
      <s:c r="BX25" s="76"/>
      <s:c r="BY25" s="26"/>
      <s:c r="BZ25" s="27"/>
      <s:c r="CA25" s="79"/>
      <s:c r="CB25" s="26"/>
      <s:c r="CC25" s="80"/>
      <s:c r="CD25" s="76"/>
      <s:c r="CE25" s="26"/>
      <s:c r="CF25" s="27"/>
      <s:c r="CG25" s="79"/>
      <s:c r="CH25" s="26"/>
      <s:c r="CI25" s="80"/>
      <s:c r="CJ25" s="76"/>
      <s:c r="CK25" s="26"/>
      <s:c r="CL25" s="27"/>
      <s:c r="CM25" s="79"/>
      <s:c r="CN25" s="26"/>
      <s:c r="CO25" s="80"/>
      <s:c r="CP25" s="76"/>
      <s:c r="CQ25" s="26"/>
      <s:c r="CR25" s="27"/>
      <s:c r="CS25" s="62">
        <s:f>SUMIFS(D25:CR25,$D$3:$CR$3,"З")</s:f>
        <s:v>0</s:v>
      </s:c>
      <s:c r="CT25" s="63">
        <s:f>SUMIFS(D25:CR25,$D$3:$CR$3,"О")</s:f>
        <s:v>0</s:v>
      </s:c>
      <s:c r="CU25" s="63">
        <s:f>SUMIFS(D25:CR25,$D$3:$CR$3,"У")</s:f>
        <s:v>0</s:v>
      </s:c>
      <s:c r="CV25" s="28">
        <s:f>IF(C25="Да",CS25*$D$45+CT25*$D$46+CU25*$D$47,CS25*$C$45+CT25*$C$46+CU25*$C$47)</s:f>
        <s:v>0</s:v>
      </s:c>
      <s:c r="CW25" s="29" t="str">
        <s:f>IF(C25="Нет",CV25,"")</s:f>
        <s:v/>
      </s:c>
      <s:c r="CX25" s="30" t="str">
        <s:f>IF(C25="Да",CV25,"")</s:f>
        <s:v/>
      </s:c>
      <s:c r="CY25" s="30" t="str">
        <s:f>IF(C25="Налич",CV25,"")</s:f>
        <s:v/>
      </s:c>
    </s:row>
    <s:row r="26" ht="21.75">
      <s:c r="A26" s="23" t="str">
        <s:f>IF(B26="","",COUNTA($B$4:B26))</s:f>
        <s:v/>
      </s:c>
      <s:c r="B26" s="24"/>
      <s:c r="C26" s="25"/>
      <s:c r="D26" s="49"/>
      <s:c r="E26" s="50"/>
      <s:c r="F26" s="74"/>
      <s:c r="G26" s="79"/>
      <s:c r="H26" s="26"/>
      <s:c r="I26" s="80"/>
      <s:c r="J26" s="76"/>
      <s:c r="K26" s="26"/>
      <s:c r="L26" s="27"/>
      <s:c r="M26" s="79"/>
      <s:c r="N26" s="26"/>
      <s:c r="O26" s="80"/>
      <s:c r="P26" s="76"/>
      <s:c r="Q26" s="26"/>
      <s:c r="R26" s="27"/>
      <s:c r="S26" s="79"/>
      <s:c r="T26" s="26"/>
      <s:c r="U26" s="80"/>
      <s:c r="V26" s="76"/>
      <s:c r="W26" s="26"/>
      <s:c r="X26" s="27"/>
      <s:c r="Y26" s="79"/>
      <s:c r="Z26" s="26"/>
      <s:c r="AA26" s="80"/>
      <s:c r="AB26" s="76"/>
      <s:c r="AC26" s="26"/>
      <s:c r="AD26" s="27"/>
      <s:c r="AE26" s="79"/>
      <s:c r="AF26" s="26"/>
      <s:c r="AG26" s="80"/>
      <s:c r="AH26" s="76"/>
      <s:c r="AI26" s="26"/>
      <s:c r="AJ26" s="27"/>
      <s:c r="AK26" s="79"/>
      <s:c r="AL26" s="26"/>
      <s:c r="AM26" s="80"/>
      <s:c r="AN26" s="76"/>
      <s:c r="AO26" s="26"/>
      <s:c r="AP26" s="27"/>
      <s:c r="AQ26" s="79"/>
      <s:c r="AR26" s="26"/>
      <s:c r="AS26" s="80"/>
      <s:c r="AT26" s="76"/>
      <s:c r="AU26" s="26"/>
      <s:c r="AV26" s="27"/>
      <s:c r="AW26" s="79"/>
      <s:c r="AX26" s="26"/>
      <s:c r="AY26" s="80"/>
      <s:c r="AZ26" s="76"/>
      <s:c r="BA26" s="26"/>
      <s:c r="BB26" s="27"/>
      <s:c r="BC26" s="79"/>
      <s:c r="BD26" s="26"/>
      <s:c r="BE26" s="80"/>
      <s:c r="BF26" s="76"/>
      <s:c r="BG26" s="26"/>
      <s:c r="BH26" s="27"/>
      <s:c r="BI26" s="79"/>
      <s:c r="BJ26" s="26"/>
      <s:c r="BK26" s="80"/>
      <s:c r="BL26" s="76"/>
      <s:c r="BM26" s="26"/>
      <s:c r="BN26" s="27"/>
      <s:c r="BO26" s="79"/>
      <s:c r="BP26" s="26"/>
      <s:c r="BQ26" s="80"/>
      <s:c r="BR26" s="76"/>
      <s:c r="BS26" s="26"/>
      <s:c r="BT26" s="27"/>
      <s:c r="BU26" s="79"/>
      <s:c r="BV26" s="26"/>
      <s:c r="BW26" s="80"/>
      <s:c r="BX26" s="76"/>
      <s:c r="BY26" s="26"/>
      <s:c r="BZ26" s="27"/>
      <s:c r="CA26" s="79"/>
      <s:c r="CB26" s="26"/>
      <s:c r="CC26" s="80"/>
      <s:c r="CD26" s="76"/>
      <s:c r="CE26" s="26"/>
      <s:c r="CF26" s="27"/>
      <s:c r="CG26" s="79"/>
      <s:c r="CH26" s="26"/>
      <s:c r="CI26" s="80"/>
      <s:c r="CJ26" s="76"/>
      <s:c r="CK26" s="26"/>
      <s:c r="CL26" s="27"/>
      <s:c r="CM26" s="79"/>
      <s:c r="CN26" s="26"/>
      <s:c r="CO26" s="80"/>
      <s:c r="CP26" s="76"/>
      <s:c r="CQ26" s="26"/>
      <s:c r="CR26" s="27"/>
      <s:c r="CS26" s="62">
        <s:f>SUMIFS(D26:CR26,$D$3:$CR$3,"З")</s:f>
        <s:v>0</s:v>
      </s:c>
      <s:c r="CT26" s="63">
        <s:f>SUMIFS(D26:CR26,$D$3:$CR$3,"О")</s:f>
        <s:v>0</s:v>
      </s:c>
      <s:c r="CU26" s="63">
        <s:f>SUMIFS(D26:CR26,$D$3:$CR$3,"У")</s:f>
        <s:v>0</s:v>
      </s:c>
      <s:c r="CV26" s="28">
        <s:f>IF(C26="Да",CS26*$D$45+CT26*$D$46+CU26*$D$47,CS26*$C$45+CT26*$C$46+CU26*$C$47)</s:f>
        <s:v>0</s:v>
      </s:c>
      <s:c r="CW26" s="29" t="str">
        <s:f>IF(C26="Нет",CV26,"")</s:f>
        <s:v/>
      </s:c>
      <s:c r="CX26" s="30" t="str">
        <s:f>IF(C26="Да",CV26,"")</s:f>
        <s:v/>
      </s:c>
      <s:c r="CY26" s="30" t="str">
        <s:f>IF(C26="Налич",CV26,"")</s:f>
        <s:v/>
      </s:c>
    </s:row>
    <s:row r="27" ht="21.75">
      <s:c r="A27" s="23" t="str">
        <s:f>IF(B27="","",COUNTA($B$4:B27))</s:f>
        <s:v/>
      </s:c>
      <s:c r="B27" s="24"/>
      <s:c r="C27" s="25"/>
      <s:c r="D27" s="49"/>
      <s:c r="E27" s="50"/>
      <s:c r="F27" s="74"/>
      <s:c r="G27" s="79"/>
      <s:c r="H27" s="26"/>
      <s:c r="I27" s="80"/>
      <s:c r="J27" s="76"/>
      <s:c r="K27" s="26"/>
      <s:c r="L27" s="27"/>
      <s:c r="M27" s="79"/>
      <s:c r="N27" s="26"/>
      <s:c r="O27" s="80"/>
      <s:c r="P27" s="76"/>
      <s:c r="Q27" s="26"/>
      <s:c r="R27" s="27"/>
      <s:c r="S27" s="79"/>
      <s:c r="T27" s="26"/>
      <s:c r="U27" s="80"/>
      <s:c r="V27" s="76"/>
      <s:c r="W27" s="26"/>
      <s:c r="X27" s="27"/>
      <s:c r="Y27" s="79"/>
      <s:c r="Z27" s="26"/>
      <s:c r="AA27" s="80"/>
      <s:c r="AB27" s="76"/>
      <s:c r="AC27" s="26"/>
      <s:c r="AD27" s="27"/>
      <s:c r="AE27" s="79"/>
      <s:c r="AF27" s="26"/>
      <s:c r="AG27" s="80"/>
      <s:c r="AH27" s="76"/>
      <s:c r="AI27" s="26"/>
      <s:c r="AJ27" s="27"/>
      <s:c r="AK27" s="79"/>
      <s:c r="AL27" s="26"/>
      <s:c r="AM27" s="80"/>
      <s:c r="AN27" s="76"/>
      <s:c r="AO27" s="26"/>
      <s:c r="AP27" s="27"/>
      <s:c r="AQ27" s="79"/>
      <s:c r="AR27" s="26"/>
      <s:c r="AS27" s="80"/>
      <s:c r="AT27" s="76"/>
      <s:c r="AU27" s="26"/>
      <s:c r="AV27" s="27"/>
      <s:c r="AW27" s="79"/>
      <s:c r="AX27" s="26"/>
      <s:c r="AY27" s="80"/>
      <s:c r="AZ27" s="76"/>
      <s:c r="BA27" s="26"/>
      <s:c r="BB27" s="27"/>
      <s:c r="BC27" s="79"/>
      <s:c r="BD27" s="26"/>
      <s:c r="BE27" s="80"/>
      <s:c r="BF27" s="76"/>
      <s:c r="BG27" s="26"/>
      <s:c r="BH27" s="27"/>
      <s:c r="BI27" s="79"/>
      <s:c r="BJ27" s="26"/>
      <s:c r="BK27" s="80"/>
      <s:c r="BL27" s="76"/>
      <s:c r="BM27" s="26"/>
      <s:c r="BN27" s="27"/>
      <s:c r="BO27" s="79"/>
      <s:c r="BP27" s="26"/>
      <s:c r="BQ27" s="80"/>
      <s:c r="BR27" s="76"/>
      <s:c r="BS27" s="26"/>
      <s:c r="BT27" s="27"/>
      <s:c r="BU27" s="79"/>
      <s:c r="BV27" s="26"/>
      <s:c r="BW27" s="80"/>
      <s:c r="BX27" s="76"/>
      <s:c r="BY27" s="26"/>
      <s:c r="BZ27" s="27"/>
      <s:c r="CA27" s="79"/>
      <s:c r="CB27" s="26"/>
      <s:c r="CC27" s="80"/>
      <s:c r="CD27" s="76"/>
      <s:c r="CE27" s="26"/>
      <s:c r="CF27" s="27"/>
      <s:c r="CG27" s="79"/>
      <s:c r="CH27" s="26"/>
      <s:c r="CI27" s="80"/>
      <s:c r="CJ27" s="76"/>
      <s:c r="CK27" s="26"/>
      <s:c r="CL27" s="27"/>
      <s:c r="CM27" s="79"/>
      <s:c r="CN27" s="26"/>
      <s:c r="CO27" s="80"/>
      <s:c r="CP27" s="76"/>
      <s:c r="CQ27" s="26"/>
      <s:c r="CR27" s="27"/>
      <s:c r="CS27" s="62">
        <s:f>SUMIFS(D27:CR27,$D$3:$CR$3,"З")</s:f>
        <s:v>0</s:v>
      </s:c>
      <s:c r="CT27" s="63">
        <s:f>SUMIFS(D27:CR27,$D$3:$CR$3,"О")</s:f>
        <s:v>0</s:v>
      </s:c>
      <s:c r="CU27" s="63">
        <s:f>SUMIFS(D27:CR27,$D$3:$CR$3,"У")</s:f>
        <s:v>0</s:v>
      </s:c>
      <s:c r="CV27" s="28">
        <s:f>IF(C27="Да",CS27*$D$45+CT27*$D$46+CU27*$D$47,CS27*$C$45+CT27*$C$46+CU27*$C$47)</s:f>
        <s:v>0</s:v>
      </s:c>
      <s:c r="CW27" s="29" t="str">
        <s:f>IF(C27="Нет",CV27,"")</s:f>
        <s:v/>
      </s:c>
      <s:c r="CX27" s="30" t="str">
        <s:f>IF(C27="Да",CV27,"")</s:f>
        <s:v/>
      </s:c>
      <s:c r="CY27" s="30" t="str">
        <s:f>IF(C27="Налич",CV27,"")</s:f>
        <s:v/>
      </s:c>
    </s:row>
    <s:row r="28" ht="21.75">
      <s:c r="A28" s="23" t="str">
        <s:f>IF(B28="","",COUNTA($B$4:B28))</s:f>
        <s:v/>
      </s:c>
      <s:c r="B28" s="24"/>
      <s:c r="C28" s="25"/>
      <s:c r="D28" s="49"/>
      <s:c r="E28" s="50"/>
      <s:c r="F28" s="74"/>
      <s:c r="G28" s="79"/>
      <s:c r="H28" s="26"/>
      <s:c r="I28" s="80"/>
      <s:c r="J28" s="76"/>
      <s:c r="K28" s="26"/>
      <s:c r="L28" s="27"/>
      <s:c r="M28" s="79"/>
      <s:c r="N28" s="26"/>
      <s:c r="O28" s="80"/>
      <s:c r="P28" s="76"/>
      <s:c r="Q28" s="26"/>
      <s:c r="R28" s="27"/>
      <s:c r="S28" s="79"/>
      <s:c r="T28" s="26"/>
      <s:c r="U28" s="80"/>
      <s:c r="V28" s="76"/>
      <s:c r="W28" s="26"/>
      <s:c r="X28" s="27"/>
      <s:c r="Y28" s="79"/>
      <s:c r="Z28" s="26"/>
      <s:c r="AA28" s="80"/>
      <s:c r="AB28" s="76"/>
      <s:c r="AC28" s="26"/>
      <s:c r="AD28" s="27"/>
      <s:c r="AE28" s="79"/>
      <s:c r="AF28" s="26"/>
      <s:c r="AG28" s="80"/>
      <s:c r="AH28" s="76"/>
      <s:c r="AI28" s="26"/>
      <s:c r="AJ28" s="27"/>
      <s:c r="AK28" s="79"/>
      <s:c r="AL28" s="26"/>
      <s:c r="AM28" s="80"/>
      <s:c r="AN28" s="76"/>
      <s:c r="AO28" s="26"/>
      <s:c r="AP28" s="27"/>
      <s:c r="AQ28" s="79"/>
      <s:c r="AR28" s="26"/>
      <s:c r="AS28" s="80"/>
      <s:c r="AT28" s="76"/>
      <s:c r="AU28" s="26"/>
      <s:c r="AV28" s="27"/>
      <s:c r="AW28" s="79"/>
      <s:c r="AX28" s="26"/>
      <s:c r="AY28" s="80"/>
      <s:c r="AZ28" s="76"/>
      <s:c r="BA28" s="26"/>
      <s:c r="BB28" s="27"/>
      <s:c r="BC28" s="79"/>
      <s:c r="BD28" s="26"/>
      <s:c r="BE28" s="80"/>
      <s:c r="BF28" s="76"/>
      <s:c r="BG28" s="26"/>
      <s:c r="BH28" s="27"/>
      <s:c r="BI28" s="79"/>
      <s:c r="BJ28" s="26"/>
      <s:c r="BK28" s="80"/>
      <s:c r="BL28" s="76"/>
      <s:c r="BM28" s="26"/>
      <s:c r="BN28" s="27"/>
      <s:c r="BO28" s="79"/>
      <s:c r="BP28" s="26"/>
      <s:c r="BQ28" s="80"/>
      <s:c r="BR28" s="76"/>
      <s:c r="BS28" s="26"/>
      <s:c r="BT28" s="27"/>
      <s:c r="BU28" s="79"/>
      <s:c r="BV28" s="26"/>
      <s:c r="BW28" s="80"/>
      <s:c r="BX28" s="76"/>
      <s:c r="BY28" s="26"/>
      <s:c r="BZ28" s="27"/>
      <s:c r="CA28" s="79"/>
      <s:c r="CB28" s="26"/>
      <s:c r="CC28" s="80"/>
      <s:c r="CD28" s="76"/>
      <s:c r="CE28" s="26"/>
      <s:c r="CF28" s="27"/>
      <s:c r="CG28" s="79"/>
      <s:c r="CH28" s="26"/>
      <s:c r="CI28" s="80"/>
      <s:c r="CJ28" s="76"/>
      <s:c r="CK28" s="26"/>
      <s:c r="CL28" s="27"/>
      <s:c r="CM28" s="79"/>
      <s:c r="CN28" s="26"/>
      <s:c r="CO28" s="80"/>
      <s:c r="CP28" s="76"/>
      <s:c r="CQ28" s="26"/>
      <s:c r="CR28" s="27"/>
      <s:c r="CS28" s="62">
        <s:f>SUMIFS(D28:CR28,$D$3:$CR$3,"З")</s:f>
        <s:v>0</s:v>
      </s:c>
      <s:c r="CT28" s="63">
        <s:f>SUMIFS(D28:CR28,$D$3:$CR$3,"О")</s:f>
        <s:v>0</s:v>
      </s:c>
      <s:c r="CU28" s="63">
        <s:f>SUMIFS(D28:CR28,$D$3:$CR$3,"У")</s:f>
        <s:v>0</s:v>
      </s:c>
      <s:c r="CV28" s="28">
        <s:f>IF(C28="Да",CS28*$D$45+CT28*$D$46+CU28*$D$47,CS28*$C$45+CT28*$C$46+CU28*$C$47)</s:f>
        <s:v>0</s:v>
      </s:c>
      <s:c r="CW28" s="29" t="str">
        <s:f>IF(C28="Нет",CV28,"")</s:f>
        <s:v/>
      </s:c>
      <s:c r="CX28" s="30" t="str">
        <s:f>IF(C28="Да",CV28,"")</s:f>
        <s:v/>
      </s:c>
      <s:c r="CY28" s="30" t="str">
        <s:f>IF(C28="Налич",CV28,"")</s:f>
        <s:v/>
      </s:c>
    </s:row>
    <s:row r="29" ht="21.75">
      <s:c r="A29" s="23" t="str">
        <s:f>IF(B29="","",COUNTA($B$4:B29))</s:f>
        <s:v/>
      </s:c>
      <s:c r="B29" s="24"/>
      <s:c r="C29" s="25"/>
      <s:c r="D29" s="49"/>
      <s:c r="E29" s="50"/>
      <s:c r="F29" s="74"/>
      <s:c r="G29" s="79"/>
      <s:c r="H29" s="26"/>
      <s:c r="I29" s="80"/>
      <s:c r="J29" s="76"/>
      <s:c r="K29" s="26"/>
      <s:c r="L29" s="27"/>
      <s:c r="M29" s="79"/>
      <s:c r="N29" s="26"/>
      <s:c r="O29" s="80"/>
      <s:c r="P29" s="76"/>
      <s:c r="Q29" s="26"/>
      <s:c r="R29" s="27"/>
      <s:c r="S29" s="79"/>
      <s:c r="T29" s="26"/>
      <s:c r="U29" s="80"/>
      <s:c r="V29" s="76"/>
      <s:c r="W29" s="26"/>
      <s:c r="X29" s="27"/>
      <s:c r="Y29" s="79"/>
      <s:c r="Z29" s="26"/>
      <s:c r="AA29" s="80"/>
      <s:c r="AB29" s="76"/>
      <s:c r="AC29" s="26"/>
      <s:c r="AD29" s="27"/>
      <s:c r="AE29" s="79"/>
      <s:c r="AF29" s="26"/>
      <s:c r="AG29" s="80"/>
      <s:c r="AH29" s="76"/>
      <s:c r="AI29" s="26"/>
      <s:c r="AJ29" s="27"/>
      <s:c r="AK29" s="79"/>
      <s:c r="AL29" s="26"/>
      <s:c r="AM29" s="80"/>
      <s:c r="AN29" s="76"/>
      <s:c r="AO29" s="26"/>
      <s:c r="AP29" s="27"/>
      <s:c r="AQ29" s="79"/>
      <s:c r="AR29" s="26"/>
      <s:c r="AS29" s="80"/>
      <s:c r="AT29" s="76"/>
      <s:c r="AU29" s="26"/>
      <s:c r="AV29" s="27"/>
      <s:c r="AW29" s="79"/>
      <s:c r="AX29" s="26"/>
      <s:c r="AY29" s="80"/>
      <s:c r="AZ29" s="76"/>
      <s:c r="BA29" s="26"/>
      <s:c r="BB29" s="27"/>
      <s:c r="BC29" s="79"/>
      <s:c r="BD29" s="26"/>
      <s:c r="BE29" s="80"/>
      <s:c r="BF29" s="76"/>
      <s:c r="BG29" s="26"/>
      <s:c r="BH29" s="27"/>
      <s:c r="BI29" s="79"/>
      <s:c r="BJ29" s="26"/>
      <s:c r="BK29" s="80"/>
      <s:c r="BL29" s="76"/>
      <s:c r="BM29" s="26"/>
      <s:c r="BN29" s="27"/>
      <s:c r="BO29" s="79"/>
      <s:c r="BP29" s="26"/>
      <s:c r="BQ29" s="80"/>
      <s:c r="BR29" s="76"/>
      <s:c r="BS29" s="26"/>
      <s:c r="BT29" s="27"/>
      <s:c r="BU29" s="79"/>
      <s:c r="BV29" s="26"/>
      <s:c r="BW29" s="80"/>
      <s:c r="BX29" s="76"/>
      <s:c r="BY29" s="26"/>
      <s:c r="BZ29" s="27"/>
      <s:c r="CA29" s="79"/>
      <s:c r="CB29" s="26"/>
      <s:c r="CC29" s="80"/>
      <s:c r="CD29" s="76"/>
      <s:c r="CE29" s="26"/>
      <s:c r="CF29" s="27"/>
      <s:c r="CG29" s="79"/>
      <s:c r="CH29" s="26"/>
      <s:c r="CI29" s="80"/>
      <s:c r="CJ29" s="76"/>
      <s:c r="CK29" s="26"/>
      <s:c r="CL29" s="27"/>
      <s:c r="CM29" s="79"/>
      <s:c r="CN29" s="26"/>
      <s:c r="CO29" s="80"/>
      <s:c r="CP29" s="76"/>
      <s:c r="CQ29" s="26"/>
      <s:c r="CR29" s="27"/>
      <s:c r="CS29" s="62">
        <s:f>SUMIFS(D29:CR29,$D$3:$CR$3,"З")</s:f>
        <s:v>0</s:v>
      </s:c>
      <s:c r="CT29" s="63">
        <s:f>SUMIFS(D29:CR29,$D$3:$CR$3,"О")</s:f>
        <s:v>0</s:v>
      </s:c>
      <s:c r="CU29" s="63">
        <s:f>SUMIFS(D29:CR29,$D$3:$CR$3,"У")</s:f>
        <s:v>0</s:v>
      </s:c>
      <s:c r="CV29" s="28">
        <s:f>IF(C29="Да",CS29*$D$45+CT29*$D$46+CU29*$D$47,CS29*$C$45+CT29*$C$46+CU29*$C$47)</s:f>
        <s:v>0</s:v>
      </s:c>
      <s:c r="CW29" s="29" t="str">
        <s:f>IF(C29="Нет",CV29,"")</s:f>
        <s:v/>
      </s:c>
      <s:c r="CX29" s="30" t="str">
        <s:f>IF(C29="Да",CV29,"")</s:f>
        <s:v/>
      </s:c>
      <s:c r="CY29" s="30" t="str">
        <s:f>IF(C29="Налич",CV29,"")</s:f>
        <s:v/>
      </s:c>
    </s:row>
    <s:row r="30" ht="21.75">
      <s:c r="A30" s="23" t="str">
        <s:f>IF(B30="","",COUNTA($B$4:B30))</s:f>
        <s:v/>
      </s:c>
      <s:c r="B30" s="24"/>
      <s:c r="C30" s="25"/>
      <s:c r="D30" s="49"/>
      <s:c r="E30" s="50"/>
      <s:c r="F30" s="74"/>
      <s:c r="G30" s="79"/>
      <s:c r="H30" s="26"/>
      <s:c r="I30" s="80"/>
      <s:c r="J30" s="76"/>
      <s:c r="K30" s="26"/>
      <s:c r="L30" s="27"/>
      <s:c r="M30" s="79"/>
      <s:c r="N30" s="26"/>
      <s:c r="O30" s="80"/>
      <s:c r="P30" s="76"/>
      <s:c r="Q30" s="26"/>
      <s:c r="R30" s="27"/>
      <s:c r="S30" s="79"/>
      <s:c r="T30" s="26"/>
      <s:c r="U30" s="80"/>
      <s:c r="V30" s="76"/>
      <s:c r="W30" s="26"/>
      <s:c r="X30" s="27"/>
      <s:c r="Y30" s="79"/>
      <s:c r="Z30" s="26"/>
      <s:c r="AA30" s="80"/>
      <s:c r="AB30" s="76"/>
      <s:c r="AC30" s="26"/>
      <s:c r="AD30" s="27"/>
      <s:c r="AE30" s="79"/>
      <s:c r="AF30" s="26"/>
      <s:c r="AG30" s="80"/>
      <s:c r="AH30" s="76"/>
      <s:c r="AI30" s="26"/>
      <s:c r="AJ30" s="27"/>
      <s:c r="AK30" s="79"/>
      <s:c r="AL30" s="26"/>
      <s:c r="AM30" s="80"/>
      <s:c r="AN30" s="76"/>
      <s:c r="AO30" s="26"/>
      <s:c r="AP30" s="27"/>
      <s:c r="AQ30" s="79"/>
      <s:c r="AR30" s="26"/>
      <s:c r="AS30" s="80"/>
      <s:c r="AT30" s="76"/>
      <s:c r="AU30" s="26"/>
      <s:c r="AV30" s="27"/>
      <s:c r="AW30" s="79"/>
      <s:c r="AX30" s="26"/>
      <s:c r="AY30" s="80"/>
      <s:c r="AZ30" s="76"/>
      <s:c r="BA30" s="26"/>
      <s:c r="BB30" s="27"/>
      <s:c r="BC30" s="79"/>
      <s:c r="BD30" s="26"/>
      <s:c r="BE30" s="80"/>
      <s:c r="BF30" s="76"/>
      <s:c r="BG30" s="26"/>
      <s:c r="BH30" s="27"/>
      <s:c r="BI30" s="79"/>
      <s:c r="BJ30" s="26"/>
      <s:c r="BK30" s="80"/>
      <s:c r="BL30" s="76"/>
      <s:c r="BM30" s="26"/>
      <s:c r="BN30" s="27"/>
      <s:c r="BO30" s="79"/>
      <s:c r="BP30" s="26"/>
      <s:c r="BQ30" s="80"/>
      <s:c r="BR30" s="76"/>
      <s:c r="BS30" s="26"/>
      <s:c r="BT30" s="27"/>
      <s:c r="BU30" s="79"/>
      <s:c r="BV30" s="26"/>
      <s:c r="BW30" s="80"/>
      <s:c r="BX30" s="76"/>
      <s:c r="BY30" s="26"/>
      <s:c r="BZ30" s="27"/>
      <s:c r="CA30" s="79"/>
      <s:c r="CB30" s="26"/>
      <s:c r="CC30" s="80"/>
      <s:c r="CD30" s="76"/>
      <s:c r="CE30" s="26"/>
      <s:c r="CF30" s="27"/>
      <s:c r="CG30" s="79"/>
      <s:c r="CH30" s="26"/>
      <s:c r="CI30" s="80"/>
      <s:c r="CJ30" s="76"/>
      <s:c r="CK30" s="26"/>
      <s:c r="CL30" s="27"/>
      <s:c r="CM30" s="79"/>
      <s:c r="CN30" s="26"/>
      <s:c r="CO30" s="80"/>
      <s:c r="CP30" s="76"/>
      <s:c r="CQ30" s="26"/>
      <s:c r="CR30" s="27"/>
      <s:c r="CS30" s="62">
        <s:f>SUMIFS(D30:CR30,$D$3:$CR$3,"З")</s:f>
        <s:v>0</s:v>
      </s:c>
      <s:c r="CT30" s="63">
        <s:f>SUMIFS(D30:CR30,$D$3:$CR$3,"О")</s:f>
        <s:v>0</s:v>
      </s:c>
      <s:c r="CU30" s="63">
        <s:f>SUMIFS(D30:CR30,$D$3:$CR$3,"У")</s:f>
        <s:v>0</s:v>
      </s:c>
      <s:c r="CV30" s="28">
        <s:f>IF(C30="Да",CS30*$D$45+CT30*$D$46+CU30*$D$47,CS30*$C$45+CT30*$C$46+CU30*$C$47)</s:f>
        <s:v>0</s:v>
      </s:c>
      <s:c r="CW30" s="29" t="str">
        <s:f>IF(C30="Нет",CV30,"")</s:f>
        <s:v/>
      </s:c>
      <s:c r="CX30" s="30" t="str">
        <s:f>IF(C30="Да",CV30,"")</s:f>
        <s:v/>
      </s:c>
      <s:c r="CY30" s="30" t="str">
        <s:f>IF(C30="Налич",CV30,"")</s:f>
        <s:v/>
      </s:c>
    </s:row>
    <s:row r="31" ht="21.75">
      <s:c r="A31" s="23" t="str">
        <s:f>IF(B31="","",COUNTA($B$4:B31))</s:f>
        <s:v/>
      </s:c>
      <s:c r="B31" s="33"/>
      <s:c r="C31" s="34"/>
      <s:c r="D31" s="53"/>
      <s:c r="E31" s="54"/>
      <s:c r="F31" s="74"/>
      <s:c r="G31" s="79"/>
      <s:c r="H31" s="26"/>
      <s:c r="I31" s="80"/>
      <s:c r="J31" s="76"/>
      <s:c r="K31" s="26"/>
      <s:c r="L31" s="27"/>
      <s:c r="M31" s="79"/>
      <s:c r="N31" s="26"/>
      <s:c r="O31" s="80"/>
      <s:c r="P31" s="76"/>
      <s:c r="Q31" s="26"/>
      <s:c r="R31" s="27"/>
      <s:c r="S31" s="79"/>
      <s:c r="T31" s="26"/>
      <s:c r="U31" s="80"/>
      <s:c r="V31" s="76"/>
      <s:c r="W31" s="26"/>
      <s:c r="X31" s="27"/>
      <s:c r="Y31" s="79"/>
      <s:c r="Z31" s="26"/>
      <s:c r="AA31" s="80"/>
      <s:c r="AB31" s="76"/>
      <s:c r="AC31" s="26"/>
      <s:c r="AD31" s="27"/>
      <s:c r="AE31" s="79"/>
      <s:c r="AF31" s="26"/>
      <s:c r="AG31" s="80"/>
      <s:c r="AH31" s="76"/>
      <s:c r="AI31" s="26"/>
      <s:c r="AJ31" s="27"/>
      <s:c r="AK31" s="79"/>
      <s:c r="AL31" s="26"/>
      <s:c r="AM31" s="80"/>
      <s:c r="AN31" s="76"/>
      <s:c r="AO31" s="26"/>
      <s:c r="AP31" s="27"/>
      <s:c r="AQ31" s="79"/>
      <s:c r="AR31" s="26"/>
      <s:c r="AS31" s="80"/>
      <s:c r="AT31" s="76"/>
      <s:c r="AU31" s="26"/>
      <s:c r="AV31" s="27"/>
      <s:c r="AW31" s="79"/>
      <s:c r="AX31" s="26"/>
      <s:c r="AY31" s="80"/>
      <s:c r="AZ31" s="76"/>
      <s:c r="BA31" s="26"/>
      <s:c r="BB31" s="27"/>
      <s:c r="BC31" s="79"/>
      <s:c r="BD31" s="26"/>
      <s:c r="BE31" s="80"/>
      <s:c r="BF31" s="76"/>
      <s:c r="BG31" s="26"/>
      <s:c r="BH31" s="27"/>
      <s:c r="BI31" s="79"/>
      <s:c r="BJ31" s="26"/>
      <s:c r="BK31" s="80"/>
      <s:c r="BL31" s="76"/>
      <s:c r="BM31" s="26"/>
      <s:c r="BN31" s="27"/>
      <s:c r="BO31" s="79"/>
      <s:c r="BP31" s="26"/>
      <s:c r="BQ31" s="80"/>
      <s:c r="BR31" s="76"/>
      <s:c r="BS31" s="26"/>
      <s:c r="BT31" s="27"/>
      <s:c r="BU31" s="79"/>
      <s:c r="BV31" s="26"/>
      <s:c r="BW31" s="80"/>
      <s:c r="BX31" s="76"/>
      <s:c r="BY31" s="26"/>
      <s:c r="BZ31" s="27"/>
      <s:c r="CA31" s="79"/>
      <s:c r="CB31" s="26"/>
      <s:c r="CC31" s="80"/>
      <s:c r="CD31" s="76"/>
      <s:c r="CE31" s="26"/>
      <s:c r="CF31" s="27"/>
      <s:c r="CG31" s="79"/>
      <s:c r="CH31" s="26"/>
      <s:c r="CI31" s="80"/>
      <s:c r="CJ31" s="76"/>
      <s:c r="CK31" s="26"/>
      <s:c r="CL31" s="27"/>
      <s:c r="CM31" s="79"/>
      <s:c r="CN31" s="26"/>
      <s:c r="CO31" s="80"/>
      <s:c r="CP31" s="76"/>
      <s:c r="CQ31" s="26"/>
      <s:c r="CR31" s="27"/>
      <s:c r="CS31" s="62">
        <s:f>SUMIFS(D31:CR31,$D$3:$CR$3,"З")</s:f>
        <s:v>0</s:v>
      </s:c>
      <s:c r="CT31" s="63">
        <s:f>SUMIFS(D31:CR31,$D$3:$CR$3,"О")</s:f>
        <s:v>0</s:v>
      </s:c>
      <s:c r="CU31" s="63">
        <s:f>SUMIFS(D31:CR31,$D$3:$CR$3,"У")</s:f>
        <s:v>0</s:v>
      </s:c>
      <s:c r="CV31" s="28">
        <s:f>IF(C31="Да",CS31*$D$45+CT31*$D$46+CU31*$D$47,CS31*$C$45+CT31*$C$46+CU31*$C$47)</s:f>
        <s:v>0</s:v>
      </s:c>
      <s:c r="CW31" s="29" t="str">
        <s:f>IF(C31="Нет",CV31,"")</s:f>
        <s:v/>
      </s:c>
      <s:c r="CX31" s="30" t="str">
        <s:f>IF(C31="Да",CV31,"")</s:f>
        <s:v/>
      </s:c>
      <s:c r="CY31" s="30" t="str">
        <s:f>IF(C31="Налич",CV31,"")</s:f>
        <s:v/>
      </s:c>
    </s:row>
    <s:row r="32" ht="21">
      <s:c r="A32" s="23" t="str">
        <s:f>IF(B32="","",COUNTA($B$4:B32))</s:f>
        <s:v/>
      </s:c>
      <s:c r="B32" s="35"/>
      <s:c r="C32" s="36"/>
      <s:c r="D32" s="49"/>
      <s:c r="E32" s="50"/>
      <s:c r="F32" s="74"/>
      <s:c r="G32" s="79"/>
      <s:c r="H32" s="26"/>
      <s:c r="I32" s="80"/>
      <s:c r="J32" s="76"/>
      <s:c r="K32" s="26"/>
      <s:c r="L32" s="27"/>
      <s:c r="M32" s="79"/>
      <s:c r="N32" s="26"/>
      <s:c r="O32" s="80"/>
      <s:c r="P32" s="76"/>
      <s:c r="Q32" s="26"/>
      <s:c r="R32" s="27"/>
      <s:c r="S32" s="79"/>
      <s:c r="T32" s="26"/>
      <s:c r="U32" s="80"/>
      <s:c r="V32" s="76"/>
      <s:c r="W32" s="26"/>
      <s:c r="X32" s="27"/>
      <s:c r="Y32" s="79"/>
      <s:c r="Z32" s="26"/>
      <s:c r="AA32" s="80"/>
      <s:c r="AB32" s="76"/>
      <s:c r="AC32" s="26"/>
      <s:c r="AD32" s="27"/>
      <s:c r="AE32" s="79"/>
      <s:c r="AF32" s="26"/>
      <s:c r="AG32" s="80"/>
      <s:c r="AH32" s="76"/>
      <s:c r="AI32" s="26"/>
      <s:c r="AJ32" s="27"/>
      <s:c r="AK32" s="79"/>
      <s:c r="AL32" s="26"/>
      <s:c r="AM32" s="80"/>
      <s:c r="AN32" s="76"/>
      <s:c r="AO32" s="26"/>
      <s:c r="AP32" s="27"/>
      <s:c r="AQ32" s="79"/>
      <s:c r="AR32" s="26"/>
      <s:c r="AS32" s="80"/>
      <s:c r="AT32" s="76"/>
      <s:c r="AU32" s="26"/>
      <s:c r="AV32" s="27"/>
      <s:c r="AW32" s="79"/>
      <s:c r="AX32" s="26"/>
      <s:c r="AY32" s="80"/>
      <s:c r="AZ32" s="76"/>
      <s:c r="BA32" s="26"/>
      <s:c r="BB32" s="27"/>
      <s:c r="BC32" s="79"/>
      <s:c r="BD32" s="26"/>
      <s:c r="BE32" s="80"/>
      <s:c r="BF32" s="76"/>
      <s:c r="BG32" s="26"/>
      <s:c r="BH32" s="27"/>
      <s:c r="BI32" s="79"/>
      <s:c r="BJ32" s="26"/>
      <s:c r="BK32" s="80"/>
      <s:c r="BL32" s="76"/>
      <s:c r="BM32" s="26"/>
      <s:c r="BN32" s="27"/>
      <s:c r="BO32" s="79"/>
      <s:c r="BP32" s="26"/>
      <s:c r="BQ32" s="80"/>
      <s:c r="BR32" s="76"/>
      <s:c r="BS32" s="26"/>
      <s:c r="BT32" s="27"/>
      <s:c r="BU32" s="79"/>
      <s:c r="BV32" s="26"/>
      <s:c r="BW32" s="80"/>
      <s:c r="BX32" s="76"/>
      <s:c r="BY32" s="26"/>
      <s:c r="BZ32" s="27"/>
      <s:c r="CA32" s="79"/>
      <s:c r="CB32" s="26"/>
      <s:c r="CC32" s="80"/>
      <s:c r="CD32" s="76"/>
      <s:c r="CE32" s="26"/>
      <s:c r="CF32" s="27"/>
      <s:c r="CG32" s="79"/>
      <s:c r="CH32" s="26"/>
      <s:c r="CI32" s="80"/>
      <s:c r="CJ32" s="76"/>
      <s:c r="CK32" s="26"/>
      <s:c r="CL32" s="27"/>
      <s:c r="CM32" s="79"/>
      <s:c r="CN32" s="26"/>
      <s:c r="CO32" s="80"/>
      <s:c r="CP32" s="76"/>
      <s:c r="CQ32" s="26"/>
      <s:c r="CR32" s="27"/>
      <s:c r="CS32" s="62">
        <s:f>SUMIFS(D32:CR32,$D$3:$CR$3,"З")</s:f>
        <s:v>0</s:v>
      </s:c>
      <s:c r="CT32" s="63">
        <s:f>SUMIFS(D32:CR32,$D$3:$CR$3,"О")</s:f>
        <s:v>0</s:v>
      </s:c>
      <s:c r="CU32" s="63">
        <s:f>SUMIFS(D32:CR32,$D$3:$CR$3,"У")</s:f>
        <s:v>0</s:v>
      </s:c>
      <s:c r="CV32" s="28">
        <s:f>IF(C32="Да",CS32*$D$45+CT32*$D$46+CU32*$D$47,CS32*$C$45+CT32*$C$46+CU32*$C$47)</s:f>
        <s:v>0</s:v>
      </s:c>
      <s:c r="CW32" s="29" t="str">
        <s:f>IF(C32="Нет",CV32,"")</s:f>
        <s:v/>
      </s:c>
      <s:c r="CX32" s="30" t="str">
        <s:f>IF(C32="Да",CV32,"")</s:f>
        <s:v/>
      </s:c>
      <s:c r="CY32" s="30" t="str">
        <s:f>IF(C32="Налич",CV32,"")</s:f>
        <s:v/>
      </s:c>
    </s:row>
    <s:row r="33" ht="21">
      <s:c r="A33" s="23" t="str">
        <s:f>IF(B33="","",COUNTA($B$4:B33))</s:f>
        <s:v/>
      </s:c>
      <s:c r="B33" s="35"/>
      <s:c r="C33" s="36"/>
      <s:c r="D33" s="49"/>
      <s:c r="E33" s="50"/>
      <s:c r="F33" s="74"/>
      <s:c r="G33" s="79"/>
      <s:c r="H33" s="26"/>
      <s:c r="I33" s="80"/>
      <s:c r="J33" s="76"/>
      <s:c r="K33" s="26"/>
      <s:c r="L33" s="27"/>
      <s:c r="M33" s="79"/>
      <s:c r="N33" s="26"/>
      <s:c r="O33" s="80"/>
      <s:c r="P33" s="76"/>
      <s:c r="Q33" s="26"/>
      <s:c r="R33" s="27"/>
      <s:c r="S33" s="79"/>
      <s:c r="T33" s="26"/>
      <s:c r="U33" s="80"/>
      <s:c r="V33" s="76"/>
      <s:c r="W33" s="26"/>
      <s:c r="X33" s="27"/>
      <s:c r="Y33" s="79"/>
      <s:c r="Z33" s="26"/>
      <s:c r="AA33" s="80"/>
      <s:c r="AB33" s="76"/>
      <s:c r="AC33" s="26"/>
      <s:c r="AD33" s="27"/>
      <s:c r="AE33" s="79"/>
      <s:c r="AF33" s="26"/>
      <s:c r="AG33" s="80"/>
      <s:c r="AH33" s="76"/>
      <s:c r="AI33" s="26"/>
      <s:c r="AJ33" s="27"/>
      <s:c r="AK33" s="79"/>
      <s:c r="AL33" s="26"/>
      <s:c r="AM33" s="80"/>
      <s:c r="AN33" s="76"/>
      <s:c r="AO33" s="26"/>
      <s:c r="AP33" s="27"/>
      <s:c r="AQ33" s="79"/>
      <s:c r="AR33" s="26"/>
      <s:c r="AS33" s="80"/>
      <s:c r="AT33" s="76"/>
      <s:c r="AU33" s="26"/>
      <s:c r="AV33" s="27"/>
      <s:c r="AW33" s="79"/>
      <s:c r="AX33" s="26"/>
      <s:c r="AY33" s="80"/>
      <s:c r="AZ33" s="76"/>
      <s:c r="BA33" s="26"/>
      <s:c r="BB33" s="27"/>
      <s:c r="BC33" s="79"/>
      <s:c r="BD33" s="26"/>
      <s:c r="BE33" s="80"/>
      <s:c r="BF33" s="76"/>
      <s:c r="BG33" s="26"/>
      <s:c r="BH33" s="27"/>
      <s:c r="BI33" s="79"/>
      <s:c r="BJ33" s="26"/>
      <s:c r="BK33" s="80"/>
      <s:c r="BL33" s="76"/>
      <s:c r="BM33" s="26"/>
      <s:c r="BN33" s="27"/>
      <s:c r="BO33" s="79"/>
      <s:c r="BP33" s="26"/>
      <s:c r="BQ33" s="80"/>
      <s:c r="BR33" s="76"/>
      <s:c r="BS33" s="26"/>
      <s:c r="BT33" s="27"/>
      <s:c r="BU33" s="79"/>
      <s:c r="BV33" s="26"/>
      <s:c r="BW33" s="80"/>
      <s:c r="BX33" s="76"/>
      <s:c r="BY33" s="26"/>
      <s:c r="BZ33" s="27"/>
      <s:c r="CA33" s="79"/>
      <s:c r="CB33" s="26"/>
      <s:c r="CC33" s="80"/>
      <s:c r="CD33" s="76"/>
      <s:c r="CE33" s="26"/>
      <s:c r="CF33" s="27"/>
      <s:c r="CG33" s="79"/>
      <s:c r="CH33" s="26"/>
      <s:c r="CI33" s="80"/>
      <s:c r="CJ33" s="76"/>
      <s:c r="CK33" s="26"/>
      <s:c r="CL33" s="27"/>
      <s:c r="CM33" s="79"/>
      <s:c r="CN33" s="26"/>
      <s:c r="CO33" s="80"/>
      <s:c r="CP33" s="76"/>
      <s:c r="CQ33" s="26"/>
      <s:c r="CR33" s="27"/>
      <s:c r="CS33" s="62">
        <s:f>SUMIFS(D33:CR33,$D$3:$CR$3,"З")</s:f>
        <s:v>0</s:v>
      </s:c>
      <s:c r="CT33" s="63">
        <s:f>SUMIFS(D33:CR33,$D$3:$CR$3,"О")</s:f>
        <s:v>0</s:v>
      </s:c>
      <s:c r="CU33" s="63">
        <s:f>SUMIFS(D33:CR33,$D$3:$CR$3,"У")</s:f>
        <s:v>0</s:v>
      </s:c>
      <s:c r="CV33" s="28">
        <s:f>IF(C33="Да",CS33*$D$45+CT33*$D$46+CU33*$D$47,CS33*$C$45+CT33*$C$46+CU33*$C$47)</s:f>
        <s:v>0</s:v>
      </s:c>
      <s:c r="CW33" s="29" t="str">
        <s:f>IF(C33="Нет",CV33,"")</s:f>
        <s:v/>
      </s:c>
      <s:c r="CX33" s="30" t="str">
        <s:f>IF(C33="Да",CV33,"")</s:f>
        <s:v/>
      </s:c>
      <s:c r="CY33" s="30" t="str">
        <s:f>IF(C33="Налич",CV33,"")</s:f>
        <s:v/>
      </s:c>
    </s:row>
    <s:row r="34" ht="21.6">
      <s:c r="A34" s="37" t="str">
        <s:f>IF(B34="","",COUNTA($B$4:B34))</s:f>
        <s:v/>
      </s:c>
      <s:c r="B34" s="38"/>
      <s:c r="C34" s="39"/>
      <s:c r="D34" s="55"/>
      <s:c r="E34" s="56"/>
      <s:c r="F34" s="75"/>
      <s:c r="G34" s="81"/>
      <s:c r="H34" s="40"/>
      <s:c r="I34" s="82"/>
      <s:c r="J34" s="77"/>
      <s:c r="K34" s="40"/>
      <s:c r="L34" s="41"/>
      <s:c r="M34" s="81"/>
      <s:c r="N34" s="40"/>
      <s:c r="O34" s="82"/>
      <s:c r="P34" s="77"/>
      <s:c r="Q34" s="40"/>
      <s:c r="R34" s="41"/>
      <s:c r="S34" s="81"/>
      <s:c r="T34" s="40"/>
      <s:c r="U34" s="82"/>
      <s:c r="V34" s="77"/>
      <s:c r="W34" s="40"/>
      <s:c r="X34" s="41"/>
      <s:c r="Y34" s="81"/>
      <s:c r="Z34" s="40"/>
      <s:c r="AA34" s="82"/>
      <s:c r="AB34" s="77"/>
      <s:c r="AC34" s="40"/>
      <s:c r="AD34" s="41"/>
      <s:c r="AE34" s="81"/>
      <s:c r="AF34" s="40"/>
      <s:c r="AG34" s="82"/>
      <s:c r="AH34" s="77"/>
      <s:c r="AI34" s="40"/>
      <s:c r="AJ34" s="41"/>
      <s:c r="AK34" s="81"/>
      <s:c r="AL34" s="40"/>
      <s:c r="AM34" s="82"/>
      <s:c r="AN34" s="77"/>
      <s:c r="AO34" s="40"/>
      <s:c r="AP34" s="41"/>
      <s:c r="AQ34" s="81"/>
      <s:c r="AR34" s="40"/>
      <s:c r="AS34" s="82"/>
      <s:c r="AT34" s="77"/>
      <s:c r="AU34" s="40"/>
      <s:c r="AV34" s="41"/>
      <s:c r="AW34" s="81"/>
      <s:c r="AX34" s="40"/>
      <s:c r="AY34" s="82"/>
      <s:c r="AZ34" s="77"/>
      <s:c r="BA34" s="40"/>
      <s:c r="BB34" s="41"/>
      <s:c r="BC34" s="81"/>
      <s:c r="BD34" s="40"/>
      <s:c r="BE34" s="82"/>
      <s:c r="BF34" s="77"/>
      <s:c r="BG34" s="40"/>
      <s:c r="BH34" s="41"/>
      <s:c r="BI34" s="81"/>
      <s:c r="BJ34" s="40"/>
      <s:c r="BK34" s="82"/>
      <s:c r="BL34" s="77"/>
      <s:c r="BM34" s="40"/>
      <s:c r="BN34" s="41"/>
      <s:c r="BO34" s="81"/>
      <s:c r="BP34" s="40"/>
      <s:c r="BQ34" s="82"/>
      <s:c r="BR34" s="77"/>
      <s:c r="BS34" s="40"/>
      <s:c r="BT34" s="41"/>
      <s:c r="BU34" s="81"/>
      <s:c r="BV34" s="40"/>
      <s:c r="BW34" s="82"/>
      <s:c r="BX34" s="77"/>
      <s:c r="BY34" s="40"/>
      <s:c r="BZ34" s="41"/>
      <s:c r="CA34" s="81"/>
      <s:c r="CB34" s="40"/>
      <s:c r="CC34" s="82"/>
      <s:c r="CD34" s="77"/>
      <s:c r="CE34" s="40"/>
      <s:c r="CF34" s="41"/>
      <s:c r="CG34" s="81"/>
      <s:c r="CH34" s="40"/>
      <s:c r="CI34" s="82"/>
      <s:c r="CJ34" s="77"/>
      <s:c r="CK34" s="40"/>
      <s:c r="CL34" s="41"/>
      <s:c r="CM34" s="81"/>
      <s:c r="CN34" s="40"/>
      <s:c r="CO34" s="82"/>
      <s:c r="CP34" s="77"/>
      <s:c r="CQ34" s="40"/>
      <s:c r="CR34" s="41"/>
      <s:c r="CS34" s="67">
        <s:f>SUMIFS(D34:CR34,$D$3:$CR$3,"З")</s:f>
        <s:v>0</s:v>
      </s:c>
      <s:c r="CT34" s="68">
        <s:f>SUMIFS(D34:CR34,$D$3:$CR$3,"О")</s:f>
        <s:v>0</s:v>
      </s:c>
      <s:c r="CU34" s="68">
        <s:f>SUMIFS(D34:CR34,$D$3:$CR$3,"У")</s:f>
        <s:v>0</s:v>
      </s:c>
      <s:c r="CV34" s="42">
        <s:f>IF(C34="Да",CS34*$D$45+CT34*$D$46+CU34*$D$47,CS34*$C$45+CT34*$C$46+CU34*$C$47)</s:f>
        <s:v>0</s:v>
      </s:c>
      <s:c r="CW34" s="43" t="str">
        <s:f>IF(C34="Нет",CV34,"")</s:f>
        <s:v/>
      </s:c>
      <s:c r="CX34" s="44" t="str">
        <s:f>IF(C34="Да",CV34,"")</s:f>
        <s:v/>
      </s:c>
      <s:c r="CY34" s="30" t="str">
        <s:f>IF(C34="Налич",CV34,"")</s:f>
        <s:v/>
      </s:c>
    </s:row>
    <s:row r="35" ht="21.6">
      <s:c r="A35" s="45"/>
      <s:c r="B35" s="46"/>
      <s:c r="C35" s="47"/>
      <s:c r="D35" s="7" t="s">
        <s:v>10</s:v>
      </s:c>
      <s:c r="E35" s="8" t="s">
        <s:v>11</s:v>
      </s:c>
      <s:c r="F35" s="94" t="s">
        <s:v>12</s:v>
      </s:c>
      <s:c r="G35" s="97" t="s">
        <s:v>10</s:v>
      </s:c>
      <s:c r="H35" s="8" t="s">
        <s:v>11</s:v>
      </s:c>
      <s:c r="I35" s="98" t="s">
        <s:v>12</s:v>
      </s:c>
      <s:c r="J35" s="7" t="s">
        <s:v>10</s:v>
      </s:c>
      <s:c r="K35" s="8" t="s">
        <s:v>11</s:v>
      </s:c>
      <s:c r="L35" s="94" t="s">
        <s:v>12</s:v>
      </s:c>
      <s:c r="M35" s="97" t="s">
        <s:v>10</s:v>
      </s:c>
      <s:c r="N35" s="8" t="s">
        <s:v>11</s:v>
      </s:c>
      <s:c r="O35" s="98" t="s">
        <s:v>12</s:v>
      </s:c>
      <s:c r="P35" s="7" t="s">
        <s:v>10</s:v>
      </s:c>
      <s:c r="Q35" s="8" t="s">
        <s:v>11</s:v>
      </s:c>
      <s:c r="R35" s="94" t="s">
        <s:v>12</s:v>
      </s:c>
      <s:c r="S35" s="97" t="s">
        <s:v>10</s:v>
      </s:c>
      <s:c r="T35" s="8" t="s">
        <s:v>11</s:v>
      </s:c>
      <s:c r="U35" s="98" t="s">
        <s:v>12</s:v>
      </s:c>
      <s:c r="V35" s="7" t="s">
        <s:v>10</s:v>
      </s:c>
      <s:c r="W35" s="8" t="s">
        <s:v>11</s:v>
      </s:c>
      <s:c r="X35" s="94" t="s">
        <s:v>12</s:v>
      </s:c>
      <s:c r="Y35" s="97" t="s">
        <s:v>10</s:v>
      </s:c>
      <s:c r="Z35" s="8" t="s">
        <s:v>11</s:v>
      </s:c>
      <s:c r="AA35" s="98" t="s">
        <s:v>12</s:v>
      </s:c>
      <s:c r="AB35" s="7" t="s">
        <s:v>10</s:v>
      </s:c>
      <s:c r="AC35" s="8" t="s">
        <s:v>11</s:v>
      </s:c>
      <s:c r="AD35" s="94" t="s">
        <s:v>12</s:v>
      </s:c>
      <s:c r="AE35" s="97" t="s">
        <s:v>10</s:v>
      </s:c>
      <s:c r="AF35" s="8" t="s">
        <s:v>11</s:v>
      </s:c>
      <s:c r="AG35" s="98" t="s">
        <s:v>12</s:v>
      </s:c>
      <s:c r="AH35" s="7" t="s">
        <s:v>10</s:v>
      </s:c>
      <s:c r="AI35" s="8" t="s">
        <s:v>11</s:v>
      </s:c>
      <s:c r="AJ35" s="94" t="s">
        <s:v>12</s:v>
      </s:c>
      <s:c r="AK35" s="97" t="s">
        <s:v>10</s:v>
      </s:c>
      <s:c r="AL35" s="8" t="s">
        <s:v>11</s:v>
      </s:c>
      <s:c r="AM35" s="98" t="s">
        <s:v>12</s:v>
      </s:c>
      <s:c r="AN35" s="7" t="s">
        <s:v>10</s:v>
      </s:c>
      <s:c r="AO35" s="8" t="s">
        <s:v>11</s:v>
      </s:c>
      <s:c r="AP35" s="94" t="s">
        <s:v>12</s:v>
      </s:c>
      <s:c r="AQ35" s="97" t="s">
        <s:v>10</s:v>
      </s:c>
      <s:c r="AR35" s="8" t="s">
        <s:v>11</s:v>
      </s:c>
      <s:c r="AS35" s="98" t="s">
        <s:v>12</s:v>
      </s:c>
      <s:c r="AT35" s="7" t="s">
        <s:v>10</s:v>
      </s:c>
      <s:c r="AU35" s="8" t="s">
        <s:v>11</s:v>
      </s:c>
      <s:c r="AV35" s="94" t="s">
        <s:v>12</s:v>
      </s:c>
      <s:c r="AW35" s="97" t="s">
        <s:v>10</s:v>
      </s:c>
      <s:c r="AX35" s="8" t="s">
        <s:v>11</s:v>
      </s:c>
      <s:c r="AY35" s="98" t="s">
        <s:v>12</s:v>
      </s:c>
      <s:c r="AZ35" s="7" t="s">
        <s:v>10</s:v>
      </s:c>
      <s:c r="BA35" s="8" t="s">
        <s:v>11</s:v>
      </s:c>
      <s:c r="BB35" s="94" t="s">
        <s:v>12</s:v>
      </s:c>
      <s:c r="BC35" s="97" t="s">
        <s:v>10</s:v>
      </s:c>
      <s:c r="BD35" s="8" t="s">
        <s:v>11</s:v>
      </s:c>
      <s:c r="BE35" s="98" t="s">
        <s:v>12</s:v>
      </s:c>
      <s:c r="BF35" s="7" t="s">
        <s:v>10</s:v>
      </s:c>
      <s:c r="BG35" s="8" t="s">
        <s:v>11</s:v>
      </s:c>
      <s:c r="BH35" s="94" t="s">
        <s:v>12</s:v>
      </s:c>
      <s:c r="BI35" s="97" t="s">
        <s:v>10</s:v>
      </s:c>
      <s:c r="BJ35" s="8" t="s">
        <s:v>11</s:v>
      </s:c>
      <s:c r="BK35" s="98" t="s">
        <s:v>12</s:v>
      </s:c>
      <s:c r="BL35" s="7" t="s">
        <s:v>10</s:v>
      </s:c>
      <s:c r="BM35" s="8" t="s">
        <s:v>11</s:v>
      </s:c>
      <s:c r="BN35" s="94" t="s">
        <s:v>12</s:v>
      </s:c>
      <s:c r="BO35" s="97" t="s">
        <s:v>10</s:v>
      </s:c>
      <s:c r="BP35" s="8" t="s">
        <s:v>11</s:v>
      </s:c>
      <s:c r="BQ35" s="98" t="s">
        <s:v>12</s:v>
      </s:c>
      <s:c r="BR35" s="7" t="s">
        <s:v>10</s:v>
      </s:c>
      <s:c r="BS35" s="8" t="s">
        <s:v>11</s:v>
      </s:c>
      <s:c r="BT35" s="94" t="s">
        <s:v>12</s:v>
      </s:c>
      <s:c r="BU35" s="97" t="s">
        <s:v>10</s:v>
      </s:c>
      <s:c r="BV35" s="8" t="s">
        <s:v>11</s:v>
      </s:c>
      <s:c r="BW35" s="98" t="s">
        <s:v>12</s:v>
      </s:c>
      <s:c r="BX35" s="7" t="s">
        <s:v>10</s:v>
      </s:c>
      <s:c r="BY35" s="8" t="s">
        <s:v>11</s:v>
      </s:c>
      <s:c r="BZ35" s="94" t="s">
        <s:v>12</s:v>
      </s:c>
      <s:c r="CA35" s="97" t="s">
        <s:v>10</s:v>
      </s:c>
      <s:c r="CB35" s="8" t="s">
        <s:v>11</s:v>
      </s:c>
      <s:c r="CC35" s="98" t="s">
        <s:v>12</s:v>
      </s:c>
      <s:c r="CD35" s="7" t="s">
        <s:v>10</s:v>
      </s:c>
      <s:c r="CE35" s="8" t="s">
        <s:v>11</s:v>
      </s:c>
      <s:c r="CF35" s="94" t="s">
        <s:v>12</s:v>
      </s:c>
      <s:c r="CG35" s="97" t="s">
        <s:v>10</s:v>
      </s:c>
      <s:c r="CH35" s="8" t="s">
        <s:v>11</s:v>
      </s:c>
      <s:c r="CI35" s="98" t="s">
        <s:v>12</s:v>
      </s:c>
      <s:c r="CJ35" s="7" t="s">
        <s:v>10</s:v>
      </s:c>
      <s:c r="CK35" s="8" t="s">
        <s:v>11</s:v>
      </s:c>
      <s:c r="CL35" s="94" t="s">
        <s:v>12</s:v>
      </s:c>
      <s:c r="CM35" s="97" t="s">
        <s:v>10</s:v>
      </s:c>
      <s:c r="CN35" s="8" t="s">
        <s:v>11</s:v>
      </s:c>
      <s:c r="CO35" s="98" t="s">
        <s:v>12</s:v>
      </s:c>
      <s:c r="CP35" s="7" t="s">
        <s:v>10</s:v>
      </s:c>
      <s:c r="CQ35" s="8" t="s">
        <s:v>11</s:v>
      </s:c>
      <s:c r="CR35" s="94" t="s">
        <s:v>12</s:v>
      </s:c>
      <s:c r="CS35" s="92" t="s">
        <s:v>10</s:v>
      </s:c>
      <s:c r="CT35" s="10" t="s">
        <s:v>11</s:v>
      </s:c>
      <s:c r="CU35" s="69" t="s">
        <s:v>12</s:v>
      </s:c>
      <s:c r="CV35" s="173" t="s">
        <s:v>30</s:v>
      </s:c>
      <s:c r="CW35" s="174"/>
      <s:c r="CX35" s="174"/>
      <s:c r="CY35" s="175"/>
    </s:row>
    <s:row r="36" ht="21.6">
      <s:c r="A36" s="45"/>
      <s:c r="B36" s="48" t="s">
        <s:v>13</s:v>
      </s:c>
      <s:c r="C36" s="89"/>
      <s:c r="D36" s="86">
        <s:f>SUM(D4:D34)</s:f>
        <s:v>0</s:v>
      </s:c>
      <s:c r="E36" s="84">
        <s:f>SUM(E4:E34)</s:f>
        <s:v>0</s:v>
      </s:c>
      <s:c r="F36" s="87">
        <s:f>SUM(F4:F34)</s:f>
        <s:v>0</s:v>
      </s:c>
      <s:c r="G36" s="88">
        <s:f>SUM(G4:G34)</s:f>
        <s:v>0</s:v>
      </s:c>
      <s:c r="H36" s="84">
        <s:f>SUM(H4:H34)</s:f>
        <s:v>0</s:v>
      </s:c>
      <s:c r="I36" s="85">
        <s:f>SUM(I4:I34)</s:f>
        <s:v>0</s:v>
      </s:c>
      <s:c r="J36" s="86">
        <s:f>SUM(J4:J34)</s:f>
        <s:v>0</s:v>
      </s:c>
      <s:c r="K36" s="84">
        <s:f>SUM(K4:K34)</s:f>
        <s:v>0</s:v>
      </s:c>
      <s:c r="L36" s="87">
        <s:f>SUM(L4:L34)</s:f>
        <s:v>0</s:v>
      </s:c>
      <s:c r="M36" s="88">
        <s:f>SUM(M4:M34)</s:f>
        <s:v>0</s:v>
      </s:c>
      <s:c r="N36" s="84">
        <s:f>SUM(N4:N34)</s:f>
        <s:v>0</s:v>
      </s:c>
      <s:c r="O36" s="85">
        <s:f>SUM(O4:O34)</s:f>
        <s:v>0</s:v>
      </s:c>
      <s:c r="P36" s="86">
        <s:f>SUM(P4:P34)</s:f>
        <s:v>0</s:v>
      </s:c>
      <s:c r="Q36" s="84">
        <s:f>SUM(Q4:Q34)</s:f>
        <s:v>0</s:v>
      </s:c>
      <s:c r="R36" s="87">
        <s:f>SUM(R4:R34)</s:f>
        <s:v>0</s:v>
      </s:c>
      <s:c r="S36" s="88">
        <s:f>SUM(S4:S34)</s:f>
        <s:v>2</s:v>
      </s:c>
      <s:c r="T36" s="84">
        <s:f>SUM(T4:T34)</s:f>
        <s:v>0</s:v>
      </s:c>
      <s:c r="U36" s="85">
        <s:f>SUM(U4:U34)</s:f>
        <s:v>0</s:v>
      </s:c>
      <s:c r="V36" s="86">
        <s:f>SUM(V4:V34)</s:f>
        <s:v>0</s:v>
      </s:c>
      <s:c r="W36" s="84">
        <s:f>SUM(W4:W34)</s:f>
        <s:v>0</s:v>
      </s:c>
      <s:c r="X36" s="87">
        <s:f>SUM(X4:X34)</s:f>
        <s:v>0</s:v>
      </s:c>
      <s:c r="Y36" s="88">
        <s:f>SUM(Y4:Y34)</s:f>
        <s:v>0</s:v>
      </s:c>
      <s:c r="Z36" s="84">
        <s:f>SUM(Z4:Z34)</s:f>
        <s:v>11</s:v>
      </s:c>
      <s:c r="AA36" s="85">
        <s:f>SUM(AA4:AA34)</s:f>
        <s:v>29</s:v>
      </s:c>
      <s:c r="AB36" s="86">
        <s:f>SUM(AB4:AB34)</s:f>
        <s:v>29</s:v>
      </s:c>
      <s:c r="AC36" s="84">
        <s:f>SUM(AC4:AC34)</s:f>
        <s:v>36</s:v>
      </s:c>
      <s:c r="AD36" s="87">
        <s:f>SUM(AD4:AD34)</s:f>
        <s:v>36</s:v>
      </s:c>
      <s:c r="AE36" s="88">
        <s:f>SUM(AE4:AE34)</s:f>
        <s:v>36</s:v>
      </s:c>
      <s:c r="AF36" s="84">
        <s:f>SUM(AF4:AF34)</s:f>
        <s:v>36</s:v>
      </s:c>
      <s:c r="AG36" s="85">
        <s:f>SUM(AG4:AG34)</s:f>
        <s:v>7</s:v>
      </s:c>
      <s:c r="AH36" s="86">
        <s:f>SUM(AH4:AH34)</s:f>
        <s:v>10</s:v>
      </s:c>
      <s:c r="AI36" s="84">
        <s:f>SUM(AI4:AI34)</s:f>
        <s:v>7</s:v>
      </s:c>
      <s:c r="AJ36" s="87">
        <s:f>SUM(AJ4:AJ34)</s:f>
        <s:v>7</s:v>
      </s:c>
      <s:c r="AK36" s="88">
        <s:f>SUM(AK4:AK34)</s:f>
        <s:v>13</s:v>
      </s:c>
      <s:c r="AL36" s="84">
        <s:f>SUM(AL4:AL34)</s:f>
        <s:v>7</s:v>
      </s:c>
      <s:c r="AM36" s="85">
        <s:f>SUM(AM4:AM34)</s:f>
        <s:v>7</s:v>
      </s:c>
      <s:c r="AN36" s="86">
        <s:f>SUM(AN4:AN34)</s:f>
        <s:v>10</s:v>
      </s:c>
      <s:c r="AO36" s="84">
        <s:f>SUM(AO4:AO34)</s:f>
        <s:v>7.4</s:v>
      </s:c>
      <s:c r="AP36" s="87">
        <s:f>SUM(AP4:AP34)</s:f>
        <s:v>8</s:v>
      </s:c>
      <s:c r="AQ36" s="88">
        <s:f>SUM(AQ4:AQ34)</s:f>
        <s:v>8</s:v>
      </s:c>
      <s:c r="AR36" s="84">
        <s:f>SUM(AR4:AR34)</s:f>
        <s:v>8</s:v>
      </s:c>
      <s:c r="AS36" s="85">
        <s:f>SUM(AS4:AS34)</s:f>
        <s:v>8</s:v>
      </s:c>
      <s:c r="AT36" s="86">
        <s:f>SUM(AT4:AT34)</s:f>
        <s:v>8</s:v>
      </s:c>
      <s:c r="AU36" s="84">
        <s:f>SUM(AU4:AU34)</s:f>
        <s:v>8</s:v>
      </s:c>
      <s:c r="AV36" s="87">
        <s:f>SUM(AV4:AV34)</s:f>
        <s:v>11</s:v>
      </s:c>
      <s:c r="AW36" s="88">
        <s:f>SUM(AW4:AW34)</s:f>
        <s:v>10.125</s:v>
      </s:c>
      <s:c r="AX36" s="84">
        <s:f>SUM(AX4:AX34)</s:f>
        <s:v>0</s:v>
      </s:c>
      <s:c r="AY36" s="85">
        <s:f>SUM(AY4:AY34)</s:f>
        <s:v>0</s:v>
      </s:c>
      <s:c r="AZ36" s="86">
        <s:f>SUM(AZ4:AZ34)</s:f>
        <s:v>0</s:v>
      </s:c>
      <s:c r="BA36" s="84">
        <s:f>SUM(BA4:BA34)</s:f>
        <s:v>0</s:v>
      </s:c>
      <s:c r="BB36" s="87">
        <s:f>SUM(BB4:BB34)</s:f>
        <s:v>0</s:v>
      </s:c>
      <s:c r="BC36" s="88">
        <s:f>SUM(BC4:BC34)</s:f>
        <s:v>0</s:v>
      </s:c>
      <s:c r="BD36" s="84">
        <s:f>SUM(BD4:BD34)</s:f>
        <s:v>0</s:v>
      </s:c>
      <s:c r="BE36" s="85">
        <s:f>SUM(BE4:BE34)</s:f>
        <s:v>0</s:v>
      </s:c>
      <s:c r="BF36" s="86">
        <s:f>SUM(BF4:BF34)</s:f>
        <s:v>0</s:v>
      </s:c>
      <s:c r="BG36" s="84">
        <s:f>SUM(BG4:BG34)</s:f>
        <s:v>0</s:v>
      </s:c>
      <s:c r="BH36" s="87">
        <s:f>SUM(BH4:BH34)</s:f>
        <s:v>0</s:v>
      </s:c>
      <s:c r="BI36" s="88">
        <s:f>SUM(BI4:BI34)</s:f>
        <s:v>0</s:v>
      </s:c>
      <s:c r="BJ36" s="84">
        <s:f>SUM(BJ4:BJ34)</s:f>
        <s:v>0</s:v>
      </s:c>
      <s:c r="BK36" s="85">
        <s:f>SUM(BK4:BK34)</s:f>
        <s:v>0</s:v>
      </s:c>
      <s:c r="BL36" s="86">
        <s:f>SUM(BL4:BL34)</s:f>
        <s:v>0</s:v>
      </s:c>
      <s:c r="BM36" s="84">
        <s:f>SUM(BM4:BM34)</s:f>
        <s:v>0</s:v>
      </s:c>
      <s:c r="BN36" s="87">
        <s:f>SUM(BN4:BN34)</s:f>
        <s:v>0</s:v>
      </s:c>
      <s:c r="BO36" s="88">
        <s:f>SUM(BO4:BO34)</s:f>
        <s:v>0</s:v>
      </s:c>
      <s:c r="BP36" s="84">
        <s:f>SUM(BP4:BP34)</s:f>
        <s:v>0</s:v>
      </s:c>
      <s:c r="BQ36" s="85">
        <s:f>SUM(BQ4:BQ34)</s:f>
        <s:v>0</s:v>
      </s:c>
      <s:c r="BR36" s="86">
        <s:f>SUM(BR4:BR34)</s:f>
        <s:v>0</s:v>
      </s:c>
      <s:c r="BS36" s="84">
        <s:f>SUM(BS4:BS34)</s:f>
        <s:v>0</s:v>
      </s:c>
      <s:c r="BT36" s="87">
        <s:f>SUM(BT4:BT34)</s:f>
        <s:v>0</s:v>
      </s:c>
      <s:c r="BU36" s="88">
        <s:f>SUM(BU4:BU34)</s:f>
        <s:v>0</s:v>
      </s:c>
      <s:c r="BV36" s="84">
        <s:f>SUM(BV4:BV34)</s:f>
        <s:v>5.2</s:v>
      </s:c>
      <s:c r="BW36" s="85">
        <s:f>SUM(BW4:BW34)</s:f>
        <s:v>0</s:v>
      </s:c>
      <s:c r="BX36" s="86">
        <s:f>SUM(BX4:BX34)</s:f>
        <s:v>2</s:v>
      </s:c>
      <s:c r="BY36" s="84">
        <s:f>SUM(BY4:BY34)</s:f>
        <s:v>0</s:v>
      </s:c>
      <s:c r="BZ36" s="87">
        <s:f>SUM(BZ4:BZ34)</s:f>
        <s:v>9</s:v>
      </s:c>
      <s:c r="CA36" s="88">
        <s:f>SUM(CA4:CA34)</s:f>
        <s:v>12</s:v>
      </s:c>
      <s:c r="CB36" s="84">
        <s:f>SUM(CB4:CB34)</s:f>
        <s:v>0</s:v>
      </s:c>
      <s:c r="CC36" s="85">
        <s:f>SUM(CC4:CC34)</s:f>
        <s:v>0</s:v>
      </s:c>
      <s:c r="CD36" s="86">
        <s:f>SUM(CD4:CD34)</s:f>
        <s:v>5</s:v>
      </s:c>
      <s:c r="CE36" s="84">
        <s:f>SUM(CE4:CE34)</s:f>
        <s:v>0</s:v>
      </s:c>
      <s:c r="CF36" s="87">
        <s:f>SUM(CF4:CF34)</s:f>
        <s:v>0</s:v>
      </s:c>
      <s:c r="CG36" s="88">
        <s:f>SUM(CG4:CG34)</s:f>
        <s:v>4</s:v>
      </s:c>
      <s:c r="CH36" s="84">
        <s:f>SUM(CH4:CH34)</s:f>
        <s:v>2.5</s:v>
      </s:c>
      <s:c r="CI36" s="85">
        <s:f>SUM(CI4:CI34)</s:f>
        <s:v>0</s:v>
      </s:c>
      <s:c r="CJ36" s="86">
        <s:f>SUM(CJ4:CJ34)</s:f>
        <s:v>2</s:v>
      </s:c>
      <s:c r="CK36" s="84">
        <s:f>SUM(CK4:CK34)</s:f>
        <s:v>0</s:v>
      </s:c>
      <s:c r="CL36" s="87">
        <s:f>SUM(CL4:CL34)</s:f>
        <s:v>20</s:v>
      </s:c>
      <s:c r="CM36" s="88">
        <s:f>SUM(CM4:CM34)</s:f>
        <s:v>24</s:v>
      </s:c>
      <s:c r="CN36" s="84">
        <s:f>SUM(CN4:CN34)</s:f>
        <s:v>20</s:v>
      </s:c>
      <s:c r="CO36" s="85">
        <s:f>SUM(CO4:CO34)</s:f>
        <s:v>20</s:v>
      </s:c>
      <s:c r="CP36" s="86">
        <s:f>SUM(CP4:CP34)</s:f>
        <s:v>0</s:v>
      </s:c>
      <s:c r="CQ36" s="84">
        <s:f>SUM(CQ4:CQ34)</s:f>
        <s:v>0</s:v>
      </s:c>
      <s:c r="CR36" s="87">
        <s:f>SUM(CR4:CR34)</s:f>
        <s:v>0</s:v>
      </s:c>
      <s:c r="CS36" s="93">
        <s:f>SUM(CS4:CS34)</s:f>
        <s:v>175.125</s:v>
      </s:c>
      <s:c r="CT36" s="70">
        <s:f>SUM(CT4:CT34)</s:f>
        <s:v>148.1</s:v>
      </s:c>
      <s:c r="CU36" s="71">
        <s:f>SUM(CU4:CU34)</s:f>
        <s:v>162</s:v>
      </s:c>
      <s:c r="CV36" s="124">
        <s:f>SUM(CW36:CY36)</s:f>
        <s:v>445590</s:v>
      </s:c>
      <s:c r="CW36" s="110">
        <s:f>SUM(CW4:CW34)</s:f>
        <s:v>232850</s:v>
      </s:c>
      <s:c r="CX36" s="110">
        <s:f>SUM(CX4:CX34)</s:f>
        <s:v>118140</s:v>
      </s:c>
      <s:c r="CY36" s="110">
        <s:f>SUM(CY4:CY34)</s:f>
        <s:v>94600</s:v>
      </s:c>
    </s:row>
    <s:row r="37" ht="84.6">
      <s:c r="B37" s="73" t="s">
        <s:v>31</s:v>
      </s:c>
      <s:c r="D37" s="95">
        <s:f>SUMIFS(D4:D34,$C$4:$C$34,"Да")</s:f>
        <s:v>0</s:v>
      </s:c>
      <s:c r="E37" s="1">
        <s:f>SUMIFS(E4:E34,$C$4:$C$34,"Да")</s:f>
        <s:v>0</s:v>
      </s:c>
      <s:c r="F37" s="96">
        <s:f>SUMIFS(F4:F34,$C$4:$C$34,"Да")</s:f>
        <s:v>0</s:v>
      </s:c>
      <s:c r="G37" s="91">
        <s:f>SUMIFS(G4:G34,$C$4:$C$34,"Да")</s:f>
        <s:v>0</s:v>
      </s:c>
      <s:c r="H37" s="1">
        <s:f>SUMIFS(H4:H34,$C$4:$C$34,"Да")</s:f>
        <s:v>0</s:v>
      </s:c>
      <s:c r="I37" s="90">
        <s:f>SUMIFS(I4:I34,$C$4:$C$34,"Да")</s:f>
        <s:v>0</s:v>
      </s:c>
      <s:c r="J37" s="95">
        <s:f>SUMIFS(J4:J34,$C$4:$C$34,"Да")</s:f>
        <s:v>0</s:v>
      </s:c>
      <s:c r="K37" s="1">
        <s:f>SUMIFS(K4:K34,$C$4:$C$34,"Да")</s:f>
        <s:v>0</s:v>
      </s:c>
      <s:c r="L37" s="96">
        <s:f>SUMIFS(L4:L34,$C$4:$C$34,"Да")</s:f>
        <s:v>0</s:v>
      </s:c>
      <s:c r="M37" s="91">
        <s:f>SUMIFS(M4:M34,$C$4:$C$34,"Да")</s:f>
        <s:v>0</s:v>
      </s:c>
      <s:c r="N37" s="1">
        <s:f>SUMIFS(N4:N34,$C$4:$C$34,"Да")</s:f>
        <s:v>0</s:v>
      </s:c>
      <s:c r="O37" s="90">
        <s:f>SUMIFS(O4:O34,$C$4:$C$34,"Да")</s:f>
        <s:v>0</s:v>
      </s:c>
      <s:c r="P37" s="95">
        <s:f>SUMIFS(P4:P34,$C$4:$C$34,"Да")</s:f>
        <s:v>0</s:v>
      </s:c>
      <s:c r="Q37" s="1">
        <s:f>SUMIFS(Q4:Q34,$C$4:$C$34,"Да")</s:f>
        <s:v>0</s:v>
      </s:c>
      <s:c r="R37" s="96">
        <s:f>SUMIFS(R4:R34,$C$4:$C$34,"Да")</s:f>
        <s:v>0</s:v>
      </s:c>
      <s:c r="S37" s="91">
        <s:f>SUMIFS(S4:S34,$C$4:$C$34,"Да")</s:f>
        <s:v>0</s:v>
      </s:c>
      <s:c r="T37" s="1">
        <s:f>SUMIFS(T4:T34,$C$4:$C$34,"Да")</s:f>
        <s:v>0</s:v>
      </s:c>
      <s:c r="U37" s="90">
        <s:f>SUMIFS(U4:U34,$C$4:$C$34,"Да")</s:f>
        <s:v>0</s:v>
      </s:c>
      <s:c r="V37" s="95">
        <s:f>SUMIFS(V4:V34,$C$4:$C$34,"Да")</s:f>
        <s:v>0</s:v>
      </s:c>
      <s:c r="W37" s="1">
        <s:f>SUMIFS(W4:W34,$C$4:$C$34,"Да")</s:f>
        <s:v>0</s:v>
      </s:c>
      <s:c r="X37" s="96">
        <s:f>SUMIFS(X4:X34,$C$4:$C$34,"Да")</s:f>
        <s:v>0</s:v>
      </s:c>
      <s:c r="Y37" s="91">
        <s:f>SUMIFS(Y4:Y34,$C$4:$C$34,"Да")</s:f>
        <s:v>0</s:v>
      </s:c>
      <s:c r="Z37" s="1">
        <s:f>SUMIFS(Z4:Z34,$C$4:$C$34,"Да")</s:f>
        <s:v>0</s:v>
      </s:c>
      <s:c r="AA37" s="90">
        <s:f>SUMIFS(AA4:AA34,$C$4:$C$34,"Да")</s:f>
        <s:v>0</s:v>
      </s:c>
      <s:c r="AB37" s="95">
        <s:f>SUMIFS(AB4:AB34,$C$4:$C$34,"Да")</s:f>
        <s:v>0</s:v>
      </s:c>
      <s:c r="AC37" s="1">
        <s:f>SUMIFS(AC4:AC34,$C$4:$C$34,"Да")</s:f>
        <s:v>0</s:v>
      </s:c>
      <s:c r="AD37" s="96">
        <s:f>SUMIFS(AD4:AD34,$C$4:$C$34,"Да")</s:f>
        <s:v>0</s:v>
      </s:c>
      <s:c r="AE37" s="91">
        <s:f>SUMIFS(AE4:AE34,$C$4:$C$34,"Да")</s:f>
        <s:v>0</s:v>
      </s:c>
      <s:c r="AF37" s="1">
        <s:f>SUMIFS(AF4:AF34,$C$4:$C$34,"Да")</s:f>
        <s:v>0</s:v>
      </s:c>
      <s:c r="AG37" s="90">
        <s:f>SUMIFS(AG4:AG34,$C$4:$C$34,"Да")</s:f>
        <s:v>0</s:v>
      </s:c>
      <s:c r="AH37" s="95">
        <s:f>SUMIFS(AH4:AH34,$C$4:$C$34,"Да")</s:f>
        <s:v>0</s:v>
      </s:c>
      <s:c r="AI37" s="1">
        <s:f>SUMIFS(AI4:AI34,$C$4:$C$34,"Да")</s:f>
        <s:v>0</s:v>
      </s:c>
      <s:c r="AJ37" s="96">
        <s:f>SUMIFS(AJ4:AJ34,$C$4:$C$34,"Да")</s:f>
        <s:v>0</s:v>
      </s:c>
      <s:c r="AK37" s="91">
        <s:f>SUMIFS(AK4:AK34,$C$4:$C$34,"Да")</s:f>
        <s:v>0</s:v>
      </s:c>
      <s:c r="AL37" s="1">
        <s:f>SUMIFS(AL4:AL34,$C$4:$C$34,"Да")</s:f>
        <s:v>0</s:v>
      </s:c>
      <s:c r="AM37" s="90">
        <s:f>SUMIFS(AM4:AM34,$C$4:$C$34,"Да")</s:f>
        <s:v>0</s:v>
      </s:c>
      <s:c r="AN37" s="95">
        <s:f>SUMIFS(AN4:AN34,$C$4:$C$34,"Да")</s:f>
        <s:v>0</s:v>
      </s:c>
      <s:c r="AO37" s="1">
        <s:f>SUMIFS(AO4:AO34,$C$4:$C$34,"Да")</s:f>
        <s:v>0</s:v>
      </s:c>
      <s:c r="AP37" s="96">
        <s:f>SUMIFS(AP4:AP34,$C$4:$C$34,"Да")</s:f>
        <s:v>0</s:v>
      </s:c>
      <s:c r="AQ37" s="91">
        <s:f>SUMIFS(AQ4:AQ34,$C$4:$C$34,"Да")</s:f>
        <s:v>0</s:v>
      </s:c>
      <s:c r="AR37" s="1">
        <s:f>SUMIFS(AR4:AR34,$C$4:$C$34,"Да")</s:f>
        <s:v>0</s:v>
      </s:c>
      <s:c r="AS37" s="90">
        <s:f>SUMIFS(AS4:AS34,$C$4:$C$34,"Да")</s:f>
        <s:v>0</s:v>
      </s:c>
      <s:c r="AT37" s="95">
        <s:f>SUMIFS(AT4:AT34,$C$4:$C$34,"Да")</s:f>
        <s:v>0</s:v>
      </s:c>
      <s:c r="AU37" s="1">
        <s:f>SUMIFS(AU4:AU34,$C$4:$C$34,"Да")</s:f>
        <s:v>0</s:v>
      </s:c>
      <s:c r="AV37" s="96">
        <s:f>SUMIFS(AV4:AV34,$C$4:$C$34,"Да")</s:f>
        <s:v>0</s:v>
      </s:c>
      <s:c r="AW37" s="91">
        <s:f>SUMIFS(AW4:AW34,$C$4:$C$34,"Да")</s:f>
        <s:v>0</s:v>
      </s:c>
      <s:c r="AX37" s="1">
        <s:f>SUMIFS(AX4:AX34,$C$4:$C$34,"Да")</s:f>
        <s:v>0</s:v>
      </s:c>
      <s:c r="AY37" s="90">
        <s:f>SUMIFS(AY4:AY34,$C$4:$C$34,"Да")</s:f>
        <s:v>0</s:v>
      </s:c>
      <s:c r="AZ37" s="95">
        <s:f>SUMIFS(AZ4:AZ34,$C$4:$C$34,"Да")</s:f>
        <s:v>0</s:v>
      </s:c>
      <s:c r="BA37" s="1">
        <s:f>SUMIFS(BA4:BA34,$C$4:$C$34,"Да")</s:f>
        <s:v>0</s:v>
      </s:c>
      <s:c r="BB37" s="96">
        <s:f>SUMIFS(BB4:BB34,$C$4:$C$34,"Да")</s:f>
        <s:v>0</s:v>
      </s:c>
      <s:c r="BC37" s="91">
        <s:f>SUMIFS(BC4:BC34,$C$4:$C$34,"Да")</s:f>
        <s:v>0</s:v>
      </s:c>
      <s:c r="BD37" s="1">
        <s:f>SUMIFS(BD4:BD34,$C$4:$C$34,"Да")</s:f>
        <s:v>0</s:v>
      </s:c>
      <s:c r="BE37" s="90">
        <s:f>SUMIFS(BE4:BE34,$C$4:$C$34,"Да")</s:f>
        <s:v>0</s:v>
      </s:c>
      <s:c r="BF37" s="95">
        <s:f>SUMIFS(BF4:BF34,$C$4:$C$34,"Да")</s:f>
        <s:v>0</s:v>
      </s:c>
      <s:c r="BG37" s="1">
        <s:f>SUMIFS(BG4:BG34,$C$4:$C$34,"Да")</s:f>
        <s:v>0</s:v>
      </s:c>
      <s:c r="BH37" s="96">
        <s:f>SUMIFS(BH4:BH34,$C$4:$C$34,"Да")</s:f>
        <s:v>0</s:v>
      </s:c>
      <s:c r="BI37" s="91">
        <s:f>SUMIFS(BI4:BI34,$C$4:$C$34,"Да")</s:f>
        <s:v>0</s:v>
      </s:c>
      <s:c r="BJ37" s="1">
        <s:f>SUMIFS(BJ4:BJ34,$C$4:$C$34,"Да")</s:f>
        <s:v>0</s:v>
      </s:c>
      <s:c r="BK37" s="90">
        <s:f>SUMIFS(BK4:BK34,$C$4:$C$34,"Да")</s:f>
        <s:v>0</s:v>
      </s:c>
      <s:c r="BL37" s="95">
        <s:f>SUMIFS(BL4:BL34,$C$4:$C$34,"Да")</s:f>
        <s:v>0</s:v>
      </s:c>
      <s:c r="BM37" s="1">
        <s:f>SUMIFS(BM4:BM34,$C$4:$C$34,"Да")</s:f>
        <s:v>0</s:v>
      </s:c>
      <s:c r="BN37" s="96">
        <s:f>SUMIFS(BN4:BN34,$C$4:$C$34,"Да")</s:f>
        <s:v>0</s:v>
      </s:c>
      <s:c r="BO37" s="91">
        <s:f>SUMIFS(BO4:BO34,$C$4:$C$34,"Да")</s:f>
        <s:v>0</s:v>
      </s:c>
      <s:c r="BP37" s="1">
        <s:f>SUMIFS(BP4:BP34,$C$4:$C$34,"Да")</s:f>
        <s:v>0</s:v>
      </s:c>
      <s:c r="BQ37" s="90">
        <s:f>SUMIFS(BQ4:BQ34,$C$4:$C$34,"Да")</s:f>
        <s:v>0</s:v>
      </s:c>
      <s:c r="BR37" s="95">
        <s:f>SUMIFS(BR4:BR34,$C$4:$C$34,"Да")</s:f>
        <s:v>0</s:v>
      </s:c>
      <s:c r="BS37" s="1">
        <s:f>SUMIFS(BS4:BS34,$C$4:$C$34,"Да")</s:f>
        <s:v>0</s:v>
      </s:c>
      <s:c r="BT37" s="96">
        <s:f>SUMIFS(BT4:BT34,$C$4:$C$34,"Да")</s:f>
        <s:v>0</s:v>
      </s:c>
      <s:c r="BU37" s="91">
        <s:f>SUMIFS(BU4:BU34,$C$4:$C$34,"Да")</s:f>
        <s:v>0</s:v>
      </s:c>
      <s:c r="BV37" s="1">
        <s:f>SUMIFS(BV4:BV34,$C$4:$C$34,"Да")</s:f>
        <s:v>0</s:v>
      </s:c>
      <s:c r="BW37" s="90">
        <s:f>SUMIFS(BW4:BW34,$C$4:$C$34,"Да")</s:f>
        <s:v>0</s:v>
      </s:c>
      <s:c r="BX37" s="95">
        <s:f>SUMIFS(BX4:BX34,$C$4:$C$34,"Да")</s:f>
        <s:v>2</s:v>
      </s:c>
      <s:c r="BY37" s="1">
        <s:f>SUMIFS(BY4:BY34,$C$4:$C$34,"Да")</s:f>
        <s:v>0</s:v>
      </s:c>
      <s:c r="BZ37" s="96">
        <s:f>SUMIFS(BZ4:BZ34,$C$4:$C$34,"Да")</s:f>
        <s:v>9</s:v>
      </s:c>
      <s:c r="CA37" s="91">
        <s:f>SUMIFS(CA4:CA34,$C$4:$C$34,"Да")</s:f>
        <s:v>11</s:v>
      </s:c>
      <s:c r="CB37" s="1">
        <s:f>SUMIFS(CB4:CB34,$C$4:$C$34,"Да")</s:f>
        <s:v>0</s:v>
      </s:c>
      <s:c r="CC37" s="90">
        <s:f>SUMIFS(CC4:CC34,$C$4:$C$34,"Да")</s:f>
        <s:v>0</s:v>
      </s:c>
      <s:c r="CD37" s="95">
        <s:f>SUMIFS(CD4:CD34,$C$4:$C$34,"Да")</s:f>
        <s:v>5</s:v>
      </s:c>
      <s:c r="CE37" s="1">
        <s:f>SUMIFS(CE4:CE34,$C$4:$C$34,"Да")</s:f>
        <s:v>0</s:v>
      </s:c>
      <s:c r="CF37" s="96">
        <s:f>SUMIFS(CF4:CF34,$C$4:$C$34,"Да")</s:f>
        <s:v>0</s:v>
      </s:c>
      <s:c r="CG37" s="91">
        <s:f>SUMIFS(CG4:CG34,$C$4:$C$34,"Да")</s:f>
        <s:v>4</s:v>
      </s:c>
      <s:c r="CH37" s="1">
        <s:f>SUMIFS(CH4:CH34,$C$4:$C$34,"Да")</s:f>
        <s:v>0</s:v>
      </s:c>
      <s:c r="CI37" s="90">
        <s:f>SUMIFS(CI4:CI34,$C$4:$C$34,"Да")</s:f>
        <s:v>0</s:v>
      </s:c>
      <s:c r="CJ37" s="95">
        <s:f>SUMIFS(CJ4:CJ34,$C$4:$C$34,"Да")</s:f>
        <s:v>2</s:v>
      </s:c>
      <s:c r="CK37" s="1">
        <s:f>SUMIFS(CK4:CK34,$C$4:$C$34,"Да")</s:f>
        <s:v>0</s:v>
      </s:c>
      <s:c r="CL37" s="96">
        <s:f>SUMIFS(CL4:CL34,$C$4:$C$34,"Да")</s:f>
        <s:v>20</s:v>
      </s:c>
      <s:c r="CM37" s="91">
        <s:f>SUMIFS(CM4:CM34,$C$4:$C$34,"Да")</s:f>
        <s:v>22</s:v>
      </s:c>
      <s:c r="CN37" s="1">
        <s:f>SUMIFS(CN4:CN34,$C$4:$C$34,"Да")</s:f>
        <s:v>20</s:v>
      </s:c>
      <s:c r="CO37" s="90">
        <s:f>SUMIFS(CO4:CO34,$C$4:$C$34,"Да")</s:f>
        <s:v>20</s:v>
      </s:c>
      <s:c r="CP37" s="95">
        <s:f>SUMIFS(CP4:CP34,$C$4:$C$34,"Да")</s:f>
        <s:v>0</s:v>
      </s:c>
      <s:c r="CQ37" s="1">
        <s:f>SUMIFS(CQ4:CQ34,$C$4:$C$34,"Да")</s:f>
        <s:v>0</s:v>
      </s:c>
      <s:c r="CR37" s="96">
        <s:f>SUMIFS(CR4:CR34,$C$4:$C$34,"Да")</s:f>
        <s:v>0</s:v>
      </s:c>
      <s:c r="CS37" s="83" t="s">
        <s:v>23</s:v>
      </s:c>
      <s:c r="CT37" s="72" t="s">
        <s:v>24</s:v>
      </s:c>
      <s:c r="CU37" s="72" t="s">
        <s:v>25</s:v>
      </s:c>
      <s:c r="CV37" s="109" t="s">
        <s:v>39</s:v>
      </s:c>
      <s:c r="CW37" s="111" t="s">
        <s:v>40</s:v>
      </s:c>
      <s:c r="CX37" s="111" t="s">
        <s:v>26</s:v>
      </s:c>
      <s:c r="CY37" s="111" t="s">
        <s:v>29</s:v>
      </s:c>
      <s:c r="DB37" s="128">
        <s:f>CW41-CW36</s:f>
        <s:v>0</s:v>
      </s:c>
      <s:c r="DC37" s="128">
        <s:f>CY42-CY36</s:f>
        <s:v>0</s:v>
      </s:c>
    </s:row>
    <s:row r="38" ht="23.4">
      <s:c r="B38" s="73" t="s">
        <s:v>32</s:v>
      </s:c>
      <s:c r="D38" s="95">
        <s:f>SUMIFS(D4:D34,$C$4:$C$34,"Нет")</s:f>
        <s:v>0</s:v>
      </s:c>
      <s:c r="E38" s="1">
        <s:f>SUMIFS(E4:E34,$C$4:$C$34,"Нет")</s:f>
        <s:v>0</s:v>
      </s:c>
      <s:c r="F38" s="96">
        <s:f>SUMIFS(F4:F34,$C$4:$C$34,"Нет")</s:f>
        <s:v>0</s:v>
      </s:c>
      <s:c r="G38" s="91">
        <s:f>SUMIFS(G4:G34,$C$4:$C$34,"Нет")</s:f>
        <s:v>0</s:v>
      </s:c>
      <s:c r="H38" s="1">
        <s:f>SUMIFS(H4:H34,$C$4:$C$34,"Нет")</s:f>
        <s:v>0</s:v>
      </s:c>
      <s:c r="I38" s="90">
        <s:f>SUMIFS(I4:I34,$C$4:$C$34,"Нет")</s:f>
        <s:v>0</s:v>
      </s:c>
      <s:c r="J38" s="95">
        <s:f>SUMIFS(J4:J34,$C$4:$C$34,"Нет")</s:f>
        <s:v>0</s:v>
      </s:c>
      <s:c r="K38" s="1">
        <s:f>SUMIFS(K4:K34,$C$4:$C$34,"Нет")</s:f>
        <s:v>0</s:v>
      </s:c>
      <s:c r="L38" s="96">
        <s:f>SUMIFS(L4:L34,$C$4:$C$34,"Нет")</s:f>
        <s:v>0</s:v>
      </s:c>
      <s:c r="M38" s="91">
        <s:f>SUMIFS(M4:M34,$C$4:$C$34,"Нет")</s:f>
        <s:v>0</s:v>
      </s:c>
      <s:c r="N38" s="1">
        <s:f>SUMIFS(N4:N34,$C$4:$C$34,"Нет")</s:f>
        <s:v>0</s:v>
      </s:c>
      <s:c r="O38" s="90">
        <s:f>SUMIFS(O4:O34,$C$4:$C$34,"Нет")</s:f>
        <s:v>0</s:v>
      </s:c>
      <s:c r="P38" s="95">
        <s:f>SUMIFS(P4:P34,$C$4:$C$34,"Нет")</s:f>
        <s:v>0</s:v>
      </s:c>
      <s:c r="Q38" s="1">
        <s:f>SUMIFS(Q4:Q34,$C$4:$C$34,"Нет")</s:f>
        <s:v>0</s:v>
      </s:c>
      <s:c r="R38" s="96">
        <s:f>SUMIFS(R4:R34,$C$4:$C$34,"Нет")</s:f>
        <s:v>0</s:v>
      </s:c>
      <s:c r="S38" s="91">
        <s:f>SUMIFS(S4:S34,$C$4:$C$34,"Нет")</s:f>
        <s:v>2</s:v>
      </s:c>
      <s:c r="T38" s="1">
        <s:f>SUMIFS(T4:T34,$C$4:$C$34,"Нет")</s:f>
        <s:v>0</s:v>
      </s:c>
      <s:c r="U38" s="90">
        <s:f>SUMIFS(U4:U34,$C$4:$C$34,"Нет")</s:f>
        <s:v>0</s:v>
      </s:c>
      <s:c r="V38" s="95">
        <s:f>SUMIFS(V4:V34,$C$4:$C$34,"Нет")</s:f>
        <s:v>0</s:v>
      </s:c>
      <s:c r="W38" s="1">
        <s:f>SUMIFS(W4:W34,$C$4:$C$34,"Нет")</s:f>
        <s:v>0</s:v>
      </s:c>
      <s:c r="X38" s="96">
        <s:f>SUMIFS(X4:X34,$C$4:$C$34,"Нет")</s:f>
        <s:v>0</s:v>
      </s:c>
      <s:c r="Y38" s="91">
        <s:f>SUMIFS(Y4:Y34,$C$4:$C$34,"Нет")</s:f>
        <s:v>0</s:v>
      </s:c>
      <s:c r="Z38" s="1">
        <s:f>SUMIFS(Z4:Z34,$C$4:$C$34,"Нет")</s:f>
        <s:v>11</s:v>
      </s:c>
      <s:c r="AA38" s="90">
        <s:f>SUMIFS(AA4:AA34,$C$4:$C$34,"Нет")</s:f>
        <s:v>29</s:v>
      </s:c>
      <s:c r="AB38" s="95">
        <s:f>SUMIFS(AB4:AB34,$C$4:$C$34,"Нет")</s:f>
        <s:v>29</s:v>
      </s:c>
      <s:c r="AC38" s="1">
        <s:f>SUMIFS(AC4:AC34,$C$4:$C$34,"Нет")</s:f>
        <s:v>32</s:v>
      </s:c>
      <s:c r="AD38" s="96">
        <s:f>SUMIFS(AD4:AD34,$C$4:$C$34,"Нет")</s:f>
        <s:v>32</s:v>
      </s:c>
      <s:c r="AE38" s="91">
        <s:f>SUMIFS(AE4:AE34,$C$4:$C$34,"Нет")</s:f>
        <s:v>32</s:v>
      </s:c>
      <s:c r="AF38" s="1">
        <s:f>SUMIFS(AF4:AF34,$C$4:$C$34,"Нет")</s:f>
        <s:v>32</s:v>
      </s:c>
      <s:c r="AG38" s="90">
        <s:f>SUMIFS(AG4:AG34,$C$4:$C$34,"Нет")</s:f>
        <s:v>3</s:v>
      </s:c>
      <s:c r="AH38" s="95">
        <s:f>SUMIFS(AH4:AH34,$C$4:$C$34,"Нет")</s:f>
        <s:v>3</s:v>
      </s:c>
      <s:c r="AI38" s="1">
        <s:f>SUMIFS(AI4:AI34,$C$4:$C$34,"Нет")</s:f>
        <s:v>3</s:v>
      </s:c>
      <s:c r="AJ38" s="96">
        <s:f>SUMIFS(AJ4:AJ34,$C$4:$C$34,"Нет")</s:f>
        <s:v>3</s:v>
      </s:c>
      <s:c r="AK38" s="91">
        <s:f>SUMIFS(AK4:AK34,$C$4:$C$34,"Нет")</s:f>
        <s:v>3</s:v>
      </s:c>
      <s:c r="AL38" s="1">
        <s:f>SUMIFS(AL4:AL34,$C$4:$C$34,"Нет")</s:f>
        <s:v>3</s:v>
      </s:c>
      <s:c r="AM38" s="90">
        <s:f>SUMIFS(AM4:AM34,$C$4:$C$34,"Нет")</s:f>
        <s:v>3</s:v>
      </s:c>
      <s:c r="AN38" s="95">
        <s:f>SUMIFS(AN4:AN34,$C$4:$C$34,"Нет")</s:f>
        <s:v>3</s:v>
      </s:c>
      <s:c r="AO38" s="1">
        <s:f>SUMIFS(AO4:AO34,$C$4:$C$34,"Нет")</s:f>
        <s:v>3.4</s:v>
      </s:c>
      <s:c r="AP38" s="96">
        <s:f>SUMIFS(AP4:AP34,$C$4:$C$34,"Нет")</s:f>
        <s:v>4</s:v>
      </s:c>
      <s:c r="AQ38" s="91">
        <s:f>SUMIFS(AQ4:AQ34,$C$4:$C$34,"Нет")</s:f>
        <s:v>4</s:v>
      </s:c>
      <s:c r="AR38" s="1">
        <s:f>SUMIFS(AR4:AR34,$C$4:$C$34,"Нет")</s:f>
        <s:v>4</s:v>
      </s:c>
      <s:c r="AS38" s="90">
        <s:f>SUMIFS(AS4:AS34,$C$4:$C$34,"Нет")</s:f>
        <s:v>4</s:v>
      </s:c>
      <s:c r="AT38" s="95">
        <s:f>SUMIFS(AT4:AT34,$C$4:$C$34,"Нет")</s:f>
        <s:v>4</s:v>
      </s:c>
      <s:c r="AU38" s="1">
        <s:f>SUMIFS(AU4:AU34,$C$4:$C$34,"Нет")</s:f>
        <s:v>4</s:v>
      </s:c>
      <s:c r="AV38" s="96">
        <s:f>SUMIFS(AV4:AV34,$C$4:$C$34,"Нет")</s:f>
        <s:v>4</s:v>
      </s:c>
      <s:c r="AW38" s="91">
        <s:f>SUMIFS(AW4:AW34,$C$4:$C$34,"Нет")</s:f>
        <s:v>4</s:v>
      </s:c>
      <s:c r="AX38" s="1">
        <s:f>SUMIFS(AX4:AX34,$C$4:$C$34,"Нет")</s:f>
        <s:v>0</s:v>
      </s:c>
      <s:c r="AY38" s="90">
        <s:f>SUMIFS(AY4:AY34,$C$4:$C$34,"Нет")</s:f>
        <s:v>0</s:v>
      </s:c>
      <s:c r="AZ38" s="95">
        <s:f>SUMIFS(AZ4:AZ34,$C$4:$C$34,"Нет")</s:f>
        <s:v>0</s:v>
      </s:c>
      <s:c r="BA38" s="1">
        <s:f>SUMIFS(BA4:BA34,$C$4:$C$34,"Нет")</s:f>
        <s:v>0</s:v>
      </s:c>
      <s:c r="BB38" s="96">
        <s:f>SUMIFS(BB4:BB34,$C$4:$C$34,"Нет")</s:f>
        <s:v>0</s:v>
      </s:c>
      <s:c r="BC38" s="91">
        <s:f>SUMIFS(BC4:BC34,$C$4:$C$34,"Нет")</s:f>
        <s:v>0</s:v>
      </s:c>
      <s:c r="BD38" s="1">
        <s:f>SUMIFS(BD4:BD34,$C$4:$C$34,"Нет")</s:f>
        <s:v>0</s:v>
      </s:c>
      <s:c r="BE38" s="90">
        <s:f>SUMIFS(BE4:BE34,$C$4:$C$34,"Нет")</s:f>
        <s:v>0</s:v>
      </s:c>
      <s:c r="BF38" s="95">
        <s:f>SUMIFS(BF4:BF34,$C$4:$C$34,"Нет")</s:f>
        <s:v>0</s:v>
      </s:c>
      <s:c r="BG38" s="1">
        <s:f>SUMIFS(BG4:BG34,$C$4:$C$34,"Нет")</s:f>
        <s:v>0</s:v>
      </s:c>
      <s:c r="BH38" s="96">
        <s:f>SUMIFS(BH4:BH34,$C$4:$C$34,"Нет")</s:f>
        <s:v>0</s:v>
      </s:c>
      <s:c r="BI38" s="91">
        <s:f>SUMIFS(BI4:BI34,$C$4:$C$34,"Нет")</s:f>
        <s:v>0</s:v>
      </s:c>
      <s:c r="BJ38" s="1">
        <s:f>SUMIFS(BJ4:BJ34,$C$4:$C$34,"Нет")</s:f>
        <s:v>0</s:v>
      </s:c>
      <s:c r="BK38" s="90">
        <s:f>SUMIFS(BK4:BK34,$C$4:$C$34,"Нет")</s:f>
        <s:v>0</s:v>
      </s:c>
      <s:c r="BL38" s="95">
        <s:f>SUMIFS(BL4:BL34,$C$4:$C$34,"Нет")</s:f>
        <s:v>0</s:v>
      </s:c>
      <s:c r="BM38" s="1">
        <s:f>SUMIFS(BM4:BM34,$C$4:$C$34,"Нет")</s:f>
        <s:v>0</s:v>
      </s:c>
      <s:c r="BN38" s="96">
        <s:f>SUMIFS(BN4:BN34,$C$4:$C$34,"Нет")</s:f>
        <s:v>0</s:v>
      </s:c>
      <s:c r="BO38" s="91">
        <s:f>SUMIFS(BO4:BO34,$C$4:$C$34,"Нет")</s:f>
        <s:v>0</s:v>
      </s:c>
      <s:c r="BP38" s="1">
        <s:f>SUMIFS(BP4:BP34,$C$4:$C$34,"Нет")</s:f>
        <s:v>0</s:v>
      </s:c>
      <s:c r="BQ38" s="90">
        <s:f>SUMIFS(BQ4:BQ34,$C$4:$C$34,"Нет")</s:f>
        <s:v>0</s:v>
      </s:c>
      <s:c r="BR38" s="95">
        <s:f>SUMIFS(BR4:BR34,$C$4:$C$34,"Нет")</s:f>
        <s:v>0</s:v>
      </s:c>
      <s:c r="BS38" s="1">
        <s:f>SUMIFS(BS4:BS34,$C$4:$C$34,"Нет")</s:f>
        <s:v>0</s:v>
      </s:c>
      <s:c r="BT38" s="96">
        <s:f>SUMIFS(BT4:BT34,$C$4:$C$34,"Нет")</s:f>
        <s:v>0</s:v>
      </s:c>
      <s:c r="BU38" s="91">
        <s:f>SUMIFS(BU4:BU34,$C$4:$C$34,"Нет")</s:f>
        <s:v>0</s:v>
      </s:c>
      <s:c r="BV38" s="1">
        <s:f>SUMIFS(BV4:BV34,$C$4:$C$34,"Нет")</s:f>
        <s:v>1.95</s:v>
      </s:c>
      <s:c r="BW38" s="90">
        <s:f>SUMIFS(BW4:BW34,$C$4:$C$34,"Нет")</s:f>
        <s:v>0</s:v>
      </s:c>
      <s:c r="BX38" s="95">
        <s:f>SUMIFS(BX4:BX34,$C$4:$C$34,"Нет")</s:f>
        <s:v>0</s:v>
      </s:c>
      <s:c r="BY38" s="1">
        <s:f>SUMIFS(BY4:BY34,$C$4:$C$34,"Нет")</s:f>
        <s:v>0</s:v>
      </s:c>
      <s:c r="BZ38" s="96">
        <s:f>SUMIFS(BZ4:BZ34,$C$4:$C$34,"Нет")</s:f>
        <s:v>0</s:v>
      </s:c>
      <s:c r="CA38" s="91">
        <s:f>SUMIFS(CA4:CA34,$C$4:$C$34,"Нет")</s:f>
        <s:v>0</s:v>
      </s:c>
      <s:c r="CB38" s="1">
        <s:f>SUMIFS(CB4:CB34,$C$4:$C$34,"Нет")</s:f>
        <s:v>0</s:v>
      </s:c>
      <s:c r="CC38" s="90">
        <s:f>SUMIFS(CC4:CC34,$C$4:$C$34,"Нет")</s:f>
        <s:v>0</s:v>
      </s:c>
      <s:c r="CD38" s="95">
        <s:f>SUMIFS(CD4:CD34,$C$4:$C$34,"Нет")</s:f>
        <s:v>0</s:v>
      </s:c>
      <s:c r="CE38" s="1">
        <s:f>SUMIFS(CE4:CE34,$C$4:$C$34,"Нет")</s:f>
        <s:v>0</s:v>
      </s:c>
      <s:c r="CF38" s="96">
        <s:f>SUMIFS(CF4:CF34,$C$4:$C$34,"Нет")</s:f>
        <s:v>0</s:v>
      </s:c>
      <s:c r="CG38" s="91">
        <s:f>SUMIFS(CG4:CG34,$C$4:$C$34,"Нет")</s:f>
        <s:v>0</s:v>
      </s:c>
      <s:c r="CH38" s="1">
        <s:f>SUMIFS(CH4:CH34,$C$4:$C$34,"Нет")</s:f>
        <s:v>0</s:v>
      </s:c>
      <s:c r="CI38" s="90">
        <s:f>SUMIFS(CI4:CI34,$C$4:$C$34,"Нет")</s:f>
        <s:v>0</s:v>
      </s:c>
      <s:c r="CJ38" s="95">
        <s:f>SUMIFS(CJ4:CJ34,$C$4:$C$34,"Нет")</s:f>
        <s:v>0</s:v>
      </s:c>
      <s:c r="CK38" s="1">
        <s:f>SUMIFS(CK4:CK34,$C$4:$C$34,"Нет")</s:f>
        <s:v>0</s:v>
      </s:c>
      <s:c r="CL38" s="96">
        <s:f>SUMIFS(CL4:CL34,$C$4:$C$34,"Нет")</s:f>
        <s:v>0</s:v>
      </s:c>
      <s:c r="CM38" s="91">
        <s:f>SUMIFS(CM4:CM34,$C$4:$C$34,"Нет")</s:f>
        <s:v>2</s:v>
      </s:c>
      <s:c r="CN38" s="1">
        <s:f>SUMIFS(CN4:CN34,$C$4:$C$34,"Нет")</s:f>
        <s:v>0</s:v>
      </s:c>
      <s:c r="CO38" s="90">
        <s:f>SUMIFS(CO4:CO34,$C$4:$C$34,"Нет")</s:f>
        <s:v>0</s:v>
      </s:c>
      <s:c r="CP38" s="95">
        <s:f>SUMIFS(CP4:CP34,$C$4:$C$34,"Нет")</s:f>
        <s:v>0</s:v>
      </s:c>
      <s:c r="CQ38" s="1">
        <s:f>SUMIFS(CQ4:CQ34,$C$4:$C$34,"Нет")</s:f>
        <s:v>0</s:v>
      </s:c>
      <s:c r="CR38" s="96">
        <s:f>SUMIFS(CR4:CR34,$C$4:$C$34,"Нет")</s:f>
        <s:v>0</s:v>
      </s:c>
      <s:c r="CW38" s="114"/>
      <s:c r="CX38" s="114"/>
      <s:c r="CY38" s="112"/>
    </s:row>
    <s:row r="39" ht="24">
      <s:c r="B39" s="73" t="s">
        <s:v>33</s:v>
      </s:c>
      <s:c r="D39" s="99">
        <s:f>SUMIFS(D4:D34,$C$4:$C$34,"Налич")</s:f>
        <s:v>0</s:v>
      </s:c>
      <s:c r="E39" s="100">
        <s:f>SUMIFS(E4:E34,$C$4:$C$34,"Налич")</s:f>
        <s:v>0</s:v>
      </s:c>
      <s:c r="F39" s="101">
        <s:f>SUMIFS(F4:F34,$C$4:$C$34,"Налич")</s:f>
        <s:v>0</s:v>
      </s:c>
      <s:c r="G39" s="102">
        <s:f>SUMIFS(G4:G34,$C$4:$C$34,"Налич")</s:f>
        <s:v>0</s:v>
      </s:c>
      <s:c r="H39" s="100">
        <s:f>SUMIFS(H4:H34,$C$4:$C$34,"Налич")</s:f>
        <s:v>0</s:v>
      </s:c>
      <s:c r="I39" s="103">
        <s:f>SUMIFS(I4:I34,$C$4:$C$34,"Налич")</s:f>
        <s:v>0</s:v>
      </s:c>
      <s:c r="J39" s="99">
        <s:f>SUMIFS(J4:J34,$C$4:$C$34,"Налич")</s:f>
        <s:v>0</s:v>
      </s:c>
      <s:c r="K39" s="100">
        <s:f>SUMIFS(K4:K34,$C$4:$C$34,"Налич")</s:f>
        <s:v>0</s:v>
      </s:c>
      <s:c r="L39" s="101">
        <s:f>SUMIFS(L4:L34,$C$4:$C$34,"Налич")</s:f>
        <s:v>0</s:v>
      </s:c>
      <s:c r="M39" s="102">
        <s:f>SUMIFS(M4:M34,$C$4:$C$34,"Налич")</s:f>
        <s:v>0</s:v>
      </s:c>
      <s:c r="N39" s="100">
        <s:f>SUMIFS(N4:N34,$C$4:$C$34,"Налич")</s:f>
        <s:v>0</s:v>
      </s:c>
      <s:c r="O39" s="103">
        <s:f>SUMIFS(O4:O34,$C$4:$C$34,"Налич")</s:f>
        <s:v>0</s:v>
      </s:c>
      <s:c r="P39" s="99">
        <s:f>SUMIFS(P4:P34,$C$4:$C$34,"Налич")</s:f>
        <s:v>0</s:v>
      </s:c>
      <s:c r="Q39" s="100">
        <s:f>SUMIFS(Q4:Q34,$C$4:$C$34,"Налич")</s:f>
        <s:v>0</s:v>
      </s:c>
      <s:c r="R39" s="101">
        <s:f>SUMIFS(R4:R34,$C$4:$C$34,"Налич")</s:f>
        <s:v>0</s:v>
      </s:c>
      <s:c r="S39" s="102">
        <s:f>SUMIFS(S4:S34,$C$4:$C$34,"Налич")</s:f>
        <s:v>0</s:v>
      </s:c>
      <s:c r="T39" s="100">
        <s:f>SUMIFS(T4:T34,$C$4:$C$34,"Налич")</s:f>
        <s:v>0</s:v>
      </s:c>
      <s:c r="U39" s="103">
        <s:f>SUMIFS(U4:U34,$C$4:$C$34,"Налич")</s:f>
        <s:v>0</s:v>
      </s:c>
      <s:c r="V39" s="99">
        <s:f>SUMIFS(V4:V34,$C$4:$C$34,"Налич")</s:f>
        <s:v>0</s:v>
      </s:c>
      <s:c r="W39" s="100">
        <s:f>SUMIFS(W4:W34,$C$4:$C$34,"Налич")</s:f>
        <s:v>0</s:v>
      </s:c>
      <s:c r="X39" s="101">
        <s:f>SUMIFS(X4:X34,$C$4:$C$34,"Налич")</s:f>
        <s:v>0</s:v>
      </s:c>
      <s:c r="Y39" s="102">
        <s:f>SUMIFS(Y4:Y34,$C$4:$C$34,"Налич")</s:f>
        <s:v>0</s:v>
      </s:c>
      <s:c r="Z39" s="100">
        <s:f>SUMIFS(Z4:Z34,$C$4:$C$34,"Налич")</s:f>
        <s:v>0</s:v>
      </s:c>
      <s:c r="AA39" s="103">
        <s:f>SUMIFS(AA4:AA34,$C$4:$C$34,"Налич")</s:f>
        <s:v>0</s:v>
      </s:c>
      <s:c r="AB39" s="99">
        <s:f>SUMIFS(AB4:AB34,$C$4:$C$34,"Налич")</s:f>
        <s:v>0</s:v>
      </s:c>
      <s:c r="AC39" s="100">
        <s:f>SUMIFS(AC4:AC34,$C$4:$C$34,"Налич")</s:f>
        <s:v>4</s:v>
      </s:c>
      <s:c r="AD39" s="101">
        <s:f>SUMIFS(AD4:AD34,$C$4:$C$34,"Налич")</s:f>
        <s:v>4</s:v>
      </s:c>
      <s:c r="AE39" s="102">
        <s:f>SUMIFS(AE4:AE34,$C$4:$C$34,"Налич")</s:f>
        <s:v>4</s:v>
      </s:c>
      <s:c r="AF39" s="100">
        <s:f>SUMIFS(AF4:AF34,$C$4:$C$34,"Налич")</s:f>
        <s:v>4</s:v>
      </s:c>
      <s:c r="AG39" s="103">
        <s:f>SUMIFS(AG4:AG34,$C$4:$C$34,"Налич")</s:f>
        <s:v>4</s:v>
      </s:c>
      <s:c r="AH39" s="99">
        <s:f>SUMIFS(AH4:AH34,$C$4:$C$34,"Налич")</s:f>
        <s:v>7</s:v>
      </s:c>
      <s:c r="AI39" s="100">
        <s:f>SUMIFS(AI4:AI34,$C$4:$C$34,"Налич")</s:f>
        <s:v>4</s:v>
      </s:c>
      <s:c r="AJ39" s="101">
        <s:f>SUMIFS(AJ4:AJ34,$C$4:$C$34,"Налич")</s:f>
        <s:v>4</s:v>
      </s:c>
      <s:c r="AK39" s="102">
        <s:f>SUMIFS(AK4:AK34,$C$4:$C$34,"Налич")</s:f>
        <s:v>10</s:v>
      </s:c>
      <s:c r="AL39" s="100">
        <s:f>SUMIFS(AL4:AL34,$C$4:$C$34,"Налич")</s:f>
        <s:v>4</s:v>
      </s:c>
      <s:c r="AM39" s="103">
        <s:f>SUMIFS(AM4:AM34,$C$4:$C$34,"Налич")</s:f>
        <s:v>4</s:v>
      </s:c>
      <s:c r="AN39" s="99">
        <s:f>SUMIFS(AN4:AN34,$C$4:$C$34,"Налич")</s:f>
        <s:v>7</s:v>
      </s:c>
      <s:c r="AO39" s="100">
        <s:f>SUMIFS(AO4:AO34,$C$4:$C$34,"Налич")</s:f>
        <s:v>4</s:v>
      </s:c>
      <s:c r="AP39" s="101">
        <s:f>SUMIFS(AP4:AP34,$C$4:$C$34,"Налич")</s:f>
        <s:v>4</s:v>
      </s:c>
      <s:c r="AQ39" s="102">
        <s:f>SUMIFS(AQ4:AQ34,$C$4:$C$34,"Налич")</s:f>
        <s:v>4</s:v>
      </s:c>
      <s:c r="AR39" s="100">
        <s:f>SUMIFS(AR4:AR34,$C$4:$C$34,"Налич")</s:f>
        <s:v>4</s:v>
      </s:c>
      <s:c r="AS39" s="103">
        <s:f>SUMIFS(AS4:AS34,$C$4:$C$34,"Налич")</s:f>
        <s:v>4</s:v>
      </s:c>
      <s:c r="AT39" s="99">
        <s:f>SUMIFS(AT4:AT34,$C$4:$C$34,"Налич")</s:f>
        <s:v>4</s:v>
      </s:c>
      <s:c r="AU39" s="100">
        <s:f>SUMIFS(AU4:AU34,$C$4:$C$34,"Налич")</s:f>
        <s:v>4</s:v>
      </s:c>
      <s:c r="AV39" s="101">
        <s:f>SUMIFS(AV4:AV34,$C$4:$C$34,"Налич")</s:f>
        <s:v>7</s:v>
      </s:c>
      <s:c r="AW39" s="102">
        <s:f>SUMIFS(AW4:AW34,$C$4:$C$34,"Налич")</s:f>
        <s:v>6.125</s:v>
      </s:c>
      <s:c r="AX39" s="100">
        <s:f>SUMIFS(AX4:AX34,$C$4:$C$34,"Налич")</s:f>
        <s:v>0</s:v>
      </s:c>
      <s:c r="AY39" s="103">
        <s:f>SUMIFS(AY4:AY34,$C$4:$C$34,"Налич")</s:f>
        <s:v>0</s:v>
      </s:c>
      <s:c r="AZ39" s="99">
        <s:f>SUMIFS(AZ4:AZ34,$C$4:$C$34,"Налич")</s:f>
        <s:v>0</s:v>
      </s:c>
      <s:c r="BA39" s="100">
        <s:f>SUMIFS(BA4:BA34,$C$4:$C$34,"Налич")</s:f>
        <s:v>0</s:v>
      </s:c>
      <s:c r="BB39" s="101">
        <s:f>SUMIFS(BB4:BB34,$C$4:$C$34,"Налич")</s:f>
        <s:v>0</s:v>
      </s:c>
      <s:c r="BC39" s="102">
        <s:f>SUMIFS(BC4:BC34,$C$4:$C$34,"Налич")</s:f>
        <s:v>0</s:v>
      </s:c>
      <s:c r="BD39" s="100">
        <s:f>SUMIFS(BD4:BD34,$C$4:$C$34,"Налич")</s:f>
        <s:v>0</s:v>
      </s:c>
      <s:c r="BE39" s="103">
        <s:f>SUMIFS(BE4:BE34,$C$4:$C$34,"Налич")</s:f>
        <s:v>0</s:v>
      </s:c>
      <s:c r="BF39" s="99">
        <s:f>SUMIFS(BF4:BF34,$C$4:$C$34,"Налич")</s:f>
        <s:v>0</s:v>
      </s:c>
      <s:c r="BG39" s="100">
        <s:f>SUMIFS(BG4:BG34,$C$4:$C$34,"Налич")</s:f>
        <s:v>0</s:v>
      </s:c>
      <s:c r="BH39" s="101">
        <s:f>SUMIFS(BH4:BH34,$C$4:$C$34,"Налич")</s:f>
        <s:v>0</s:v>
      </s:c>
      <s:c r="BI39" s="102">
        <s:f>SUMIFS(BI4:BI34,$C$4:$C$34,"Налич")</s:f>
        <s:v>0</s:v>
      </s:c>
      <s:c r="BJ39" s="100">
        <s:f>SUMIFS(BJ4:BJ34,$C$4:$C$34,"Налич")</s:f>
        <s:v>0</s:v>
      </s:c>
      <s:c r="BK39" s="103">
        <s:f>SUMIFS(BK4:BK34,$C$4:$C$34,"Налич")</s:f>
        <s:v>0</s:v>
      </s:c>
      <s:c r="BL39" s="99">
        <s:f>SUMIFS(BL4:BL34,$C$4:$C$34,"Налич")</s:f>
        <s:v>0</s:v>
      </s:c>
      <s:c r="BM39" s="100">
        <s:f>SUMIFS(BM4:BM34,$C$4:$C$34,"Налич")</s:f>
        <s:v>0</s:v>
      </s:c>
      <s:c r="BN39" s="101">
        <s:f>SUMIFS(BN4:BN34,$C$4:$C$34,"Налич")</s:f>
        <s:v>0</s:v>
      </s:c>
      <s:c r="BO39" s="102">
        <s:f>SUMIFS(BO4:BO34,$C$4:$C$34,"Налич")</s:f>
        <s:v>0</s:v>
      </s:c>
      <s:c r="BP39" s="100">
        <s:f>SUMIFS(BP4:BP34,$C$4:$C$34,"Налич")</s:f>
        <s:v>0</s:v>
      </s:c>
      <s:c r="BQ39" s="103">
        <s:f>SUMIFS(BQ4:BQ34,$C$4:$C$34,"Налич")</s:f>
        <s:v>0</s:v>
      </s:c>
      <s:c r="BR39" s="99">
        <s:f>SUMIFS(BR4:BR34,$C$4:$C$34,"Налич")</s:f>
        <s:v>0</s:v>
      </s:c>
      <s:c r="BS39" s="100">
        <s:f>SUMIFS(BS4:BS34,$C$4:$C$34,"Налич")</s:f>
        <s:v>0</s:v>
      </s:c>
      <s:c r="BT39" s="101">
        <s:f>SUMIFS(BT4:BT34,$C$4:$C$34,"Налич")</s:f>
        <s:v>0</s:v>
      </s:c>
      <s:c r="BU39" s="102">
        <s:f>SUMIFS(BU4:BU34,$C$4:$C$34,"Налич")</s:f>
        <s:v>0</s:v>
      </s:c>
      <s:c r="BV39" s="100">
        <s:f>SUMIFS(BV4:BV34,$C$4:$C$34,"Налич")</s:f>
        <s:v>3.25</s:v>
      </s:c>
      <s:c r="BW39" s="103">
        <s:f>SUMIFS(BW4:BW34,$C$4:$C$34,"Налич")</s:f>
        <s:v>0</s:v>
      </s:c>
      <s:c r="BX39" s="99">
        <s:f>SUMIFS(BX4:BX34,$C$4:$C$34,"Налич")</s:f>
        <s:v>0</s:v>
      </s:c>
      <s:c r="BY39" s="100">
        <s:f>SUMIFS(BY4:BY34,$C$4:$C$34,"Налич")</s:f>
        <s:v>0</s:v>
      </s:c>
      <s:c r="BZ39" s="101">
        <s:f>SUMIFS(BZ4:BZ34,$C$4:$C$34,"Налич")</s:f>
        <s:v>0</s:v>
      </s:c>
      <s:c r="CA39" s="102">
        <s:f>SUMIFS(CA4:CA34,$C$4:$C$34,"Налич")</s:f>
        <s:v>1</s:v>
      </s:c>
      <s:c r="CB39" s="100">
        <s:f>SUMIFS(CB4:CB34,$C$4:$C$34,"Налич")</s:f>
        <s:v>0</s:v>
      </s:c>
      <s:c r="CC39" s="103">
        <s:f>SUMIFS(CC4:CC34,$C$4:$C$34,"Налич")</s:f>
        <s:v>0</s:v>
      </s:c>
      <s:c r="CD39" s="99">
        <s:f>SUMIFS(CD4:CD34,$C$4:$C$34,"Налич")</s:f>
        <s:v>0</s:v>
      </s:c>
      <s:c r="CE39" s="100">
        <s:f>SUMIFS(CE4:CE34,$C$4:$C$34,"Налич")</s:f>
        <s:v>0</s:v>
      </s:c>
      <s:c r="CF39" s="101">
        <s:f>SUMIFS(CF4:CF34,$C$4:$C$34,"Налич")</s:f>
        <s:v>0</s:v>
      </s:c>
      <s:c r="CG39" s="102">
        <s:f>SUMIFS(CG4:CG34,$C$4:$C$34,"Налич")</s:f>
        <s:v>0</s:v>
      </s:c>
      <s:c r="CH39" s="100">
        <s:f>SUMIFS(CH4:CH34,$C$4:$C$34,"Налич")</s:f>
        <s:v>2.5</s:v>
      </s:c>
      <s:c r="CI39" s="103">
        <s:f>SUMIFS(CI4:CI34,$C$4:$C$34,"Налич")</s:f>
        <s:v>0</s:v>
      </s:c>
      <s:c r="CJ39" s="99">
        <s:f>SUMIFS(CJ4:CJ34,$C$4:$C$34,"Налич")</s:f>
        <s:v>0</s:v>
      </s:c>
      <s:c r="CK39" s="100">
        <s:f>SUMIFS(CK4:CK34,$C$4:$C$34,"Налич")</s:f>
        <s:v>0</s:v>
      </s:c>
      <s:c r="CL39" s="101">
        <s:f>SUMIFS(CL4:CL34,$C$4:$C$34,"Налич")</s:f>
        <s:v>0</s:v>
      </s:c>
      <s:c r="CM39" s="102">
        <s:f>SUMIFS(CM4:CM34,$C$4:$C$34,"Налич")</s:f>
        <s:v>0</s:v>
      </s:c>
      <s:c r="CN39" s="100">
        <s:f>SUMIFS(CN4:CN34,$C$4:$C$34,"Налич")</s:f>
        <s:v>0</s:v>
      </s:c>
      <s:c r="CO39" s="103">
        <s:f>SUMIFS(CO4:CO34,$C$4:$C$34,"Налич")</s:f>
        <s:v>0</s:v>
      </s:c>
      <s:c r="CP39" s="99">
        <s:f>SUMIFS(CP4:CP34,$C$4:$C$34,"Налич")</s:f>
        <s:v>0</s:v>
      </s:c>
      <s:c r="CQ39" s="100">
        <s:f>SUMIFS(CQ4:CQ34,$C$4:$C$34,"Налич")</s:f>
        <s:v>0</s:v>
      </s:c>
      <s:c r="CR39" s="101">
        <s:f>SUMIFS(CR4:CR34,$C$4:$C$34,"Налич")</s:f>
        <s:v>0</s:v>
      </s:c>
      <s:c r="CW39" s="114"/>
      <s:c r="CX39" s="114"/>
      <s:c r="CY39" s="112"/>
    </s:row>
    <s:row r="40" ht="24">
      <s:c r="B40" s="73" t="s">
        <s:v>34</s:v>
      </s:c>
      <s:c r="D40" s="151">
        <s:f>D37*$D$45+E37*$D$46+F37*$D$47</s:f>
        <s:v>0</s:v>
      </s:c>
      <s:c r="E40" s="152"/>
      <s:c r="F40" s="153"/>
      <s:c r="G40" s="154">
        <s:f>G37*$D$45+H37*$D$46+I37*$D$47</s:f>
        <s:v>0</s:v>
      </s:c>
      <s:c r="H40" s="152"/>
      <s:c r="I40" s="155"/>
      <s:c r="J40" s="151">
        <s:f>J37*$D$45+K37*$D$46+L37*$D$47</s:f>
        <s:v>0</s:v>
      </s:c>
      <s:c r="K40" s="152"/>
      <s:c r="L40" s="153"/>
      <s:c r="M40" s="154">
        <s:f>M37*$D$45+N37*$D$46+O37*$D$47</s:f>
        <s:v>0</s:v>
      </s:c>
      <s:c r="N40" s="152"/>
      <s:c r="O40" s="155"/>
      <s:c r="P40" s="151">
        <s:f>P37*$D$45+Q37*$D$46+R37*$D$47</s:f>
        <s:v>0</s:v>
      </s:c>
      <s:c r="Q40" s="152"/>
      <s:c r="R40" s="153"/>
      <s:c r="S40" s="154">
        <s:f>S37*$D$45+T37*$D$46+U37*$D$47</s:f>
        <s:v>0</s:v>
      </s:c>
      <s:c r="T40" s="152"/>
      <s:c r="U40" s="155"/>
      <s:c r="V40" s="151">
        <s:f>V37*$D$45+W37*$D$46+X37*$D$47</s:f>
        <s:v>0</s:v>
      </s:c>
      <s:c r="W40" s="152"/>
      <s:c r="X40" s="153"/>
      <s:c r="Y40" s="154">
        <s:f>Y37*$D$45+Z37*$D$46+AA37*$D$47</s:f>
        <s:v>0</s:v>
      </s:c>
      <s:c r="Z40" s="152"/>
      <s:c r="AA40" s="155"/>
      <s:c r="AB40" s="151">
        <s:f>AB37*$D$45+AC37*$D$46+AD37*$D$47</s:f>
        <s:v>0</s:v>
      </s:c>
      <s:c r="AC40" s="152"/>
      <s:c r="AD40" s="153"/>
      <s:c r="AE40" s="154">
        <s:f>AE37*$D$45+AF37*$D$46+AG37*$D$47</s:f>
        <s:v>0</s:v>
      </s:c>
      <s:c r="AF40" s="152"/>
      <s:c r="AG40" s="155"/>
      <s:c r="AH40" s="151">
        <s:f>AH37*$D$45+AI37*$D$46+AJ37*$D$47</s:f>
        <s:v>0</s:v>
      </s:c>
      <s:c r="AI40" s="152"/>
      <s:c r="AJ40" s="153"/>
      <s:c r="AK40" s="154">
        <s:f>AK37*$D$45+AL37*$D$46+AM37*$D$47</s:f>
        <s:v>0</s:v>
      </s:c>
      <s:c r="AL40" s="152"/>
      <s:c r="AM40" s="155"/>
      <s:c r="AN40" s="151">
        <s:f>AN37*$D$45+AO37*$D$46+AP37*$D$47</s:f>
        <s:v>0</s:v>
      </s:c>
      <s:c r="AO40" s="152"/>
      <s:c r="AP40" s="153"/>
      <s:c r="AQ40" s="154">
        <s:f>AQ37*$D$45+AR37*$D$46+AS37*$D$47</s:f>
        <s:v>0</s:v>
      </s:c>
      <s:c r="AR40" s="152"/>
      <s:c r="AS40" s="155"/>
      <s:c r="AT40" s="151">
        <s:f>AT37*$D$45+AU37*$D$46+AV37*$D$47</s:f>
        <s:v>0</s:v>
      </s:c>
      <s:c r="AU40" s="152"/>
      <s:c r="AV40" s="153"/>
      <s:c r="AW40" s="154">
        <s:f>AW37*$D$45+AX37*$D$46+AY37*$D$47</s:f>
        <s:v>0</s:v>
      </s:c>
      <s:c r="AX40" s="152"/>
      <s:c r="AY40" s="155"/>
      <s:c r="AZ40" s="151">
        <s:f>AZ37*$D$45+BA37*$D$46+BB37*$D$47</s:f>
        <s:v>0</s:v>
      </s:c>
      <s:c r="BA40" s="152"/>
      <s:c r="BB40" s="153"/>
      <s:c r="BC40" s="154">
        <s:f>BC37*$D$45+BD37*$D$46+BE37*$D$47</s:f>
        <s:v>0</s:v>
      </s:c>
      <s:c r="BD40" s="152"/>
      <s:c r="BE40" s="155"/>
      <s:c r="BF40" s="151">
        <s:f>BF37*$D$45+BG37*$D$46+BH37*$D$47</s:f>
        <s:v>0</s:v>
      </s:c>
      <s:c r="BG40" s="152"/>
      <s:c r="BH40" s="153"/>
      <s:c r="BI40" s="154">
        <s:f>BI37*$D$45+BJ37*$D$46+BK37*$D$47</s:f>
        <s:v>0</s:v>
      </s:c>
      <s:c r="BJ40" s="152"/>
      <s:c r="BK40" s="155"/>
      <s:c r="BL40" s="151">
        <s:f>BL37*$D$45+BM37*$D$46+BN37*$D$47</s:f>
        <s:v>0</s:v>
      </s:c>
      <s:c r="BM40" s="152"/>
      <s:c r="BN40" s="153"/>
      <s:c r="BO40" s="154">
        <s:f>BO37*$D$45+BP37*$D$46+BQ37*$D$47</s:f>
        <s:v>0</s:v>
      </s:c>
      <s:c r="BP40" s="152"/>
      <s:c r="BQ40" s="155"/>
      <s:c r="BR40" s="151">
        <s:f>BR37*$D$45+BS37*$D$46+BT37*$D$47</s:f>
        <s:v>0</s:v>
      </s:c>
      <s:c r="BS40" s="152"/>
      <s:c r="BT40" s="153"/>
      <s:c r="BU40" s="154">
        <s:f>BU37*$D$45+BV37*$D$46+BW37*$D$47</s:f>
        <s:v>0</s:v>
      </s:c>
      <s:c r="BV40" s="152"/>
      <s:c r="BW40" s="155"/>
      <s:c r="BX40" s="151">
        <s:f>BX37*$D$45+BY37*$D$46+BZ37*$D$47</s:f>
        <s:v>11100</s:v>
      </s:c>
      <s:c r="BY40" s="152"/>
      <s:c r="BZ40" s="153"/>
      <s:c r="CA40" s="154">
        <s:f>CA37*$D$45+CB37*$D$46+CC37*$D$47</s:f>
        <s:v>10560</s:v>
      </s:c>
      <s:c r="CB40" s="152"/>
      <s:c r="CC40" s="155"/>
      <s:c r="CD40" s="151">
        <s:f>CD37*$D$45+CE37*$D$46+CF37*$D$47</s:f>
        <s:v>4800</s:v>
      </s:c>
      <s:c r="CE40" s="152"/>
      <s:c r="CF40" s="153"/>
      <s:c r="CG40" s="154">
        <s:f>CG37*$D$45+CH37*$D$46+CI37*$D$47</s:f>
        <s:v>3840</s:v>
      </s:c>
      <s:c r="CH40" s="152"/>
      <s:c r="CI40" s="155"/>
      <s:c r="CJ40" s="151">
        <s:f>CJ37*$D$45+CK37*$D$46+CL37*$D$47</s:f>
        <s:v>22320</s:v>
      </s:c>
      <s:c r="CK40" s="152"/>
      <s:c r="CL40" s="153"/>
      <s:c r="CM40" s="154">
        <s:f>CM37*$D$45+CN37*$D$46+CO37*$D$47</s:f>
        <s:v>65520</s:v>
      </s:c>
      <s:c r="CN40" s="152"/>
      <s:c r="CO40" s="155"/>
      <s:c r="CP40" s="151">
        <s:f>CP37*$D$45+CQ37*$D$46+CR37*$D$47</s:f>
        <s:v>0</s:v>
      </s:c>
      <s:c r="CQ40" s="152"/>
      <s:c r="CR40" s="153"/>
      <s:c r="CS40" s="104"/>
      <s:c r="CT40" s="105"/>
      <s:c r="CU40" s="105"/>
      <s:c r="CV40" s="105"/>
      <s:c r="CW40" s="115" t="s">
        <s:v>38</s:v>
      </s:c>
      <s:c r="CX40" s="113">
        <s:f>SUM(D40:CR40)</s:f>
        <s:v>118140</s:v>
      </s:c>
      <s:c r="CY40" s="112"/>
    </s:row>
    <s:row r="41" ht="24">
      <s:c r="B41" s="73" t="s">
        <s:v>35</s:v>
      </s:c>
      <s:c r="D41" s="149">
        <s:f>D38*$C$45+E38*$C$46+F38*$C$47</s:f>
        <s:v>0</s:v>
      </s:c>
      <s:c r="E41" s="147"/>
      <s:c r="F41" s="150"/>
      <s:c r="G41" s="146">
        <s:f>G38*$C$45+H38*$C$46+I38*$C$47</s:f>
        <s:v>0</s:v>
      </s:c>
      <s:c r="H41" s="147"/>
      <s:c r="I41" s="148"/>
      <s:c r="J41" s="149">
        <s:f>J38*$C$45+K38*$C$46+L38*$C$47</s:f>
        <s:v>0</s:v>
      </s:c>
      <s:c r="K41" s="147"/>
      <s:c r="L41" s="150"/>
      <s:c r="M41" s="149">
        <s:f>M38*$C$45+N38*$C$46+O38*$C$47</s:f>
        <s:v>0</s:v>
      </s:c>
      <s:c r="N41" s="147"/>
      <s:c r="O41" s="150"/>
      <s:c r="P41" s="149">
        <s:f>P38*$C$45+Q38*$C$46+R38*$C$47</s:f>
        <s:v>0</s:v>
      </s:c>
      <s:c r="Q41" s="147"/>
      <s:c r="R41" s="150"/>
      <s:c r="S41" s="149">
        <s:f>S38*$C$45+T38*$C$46+U38*$C$47</s:f>
        <s:v>1600</s:v>
      </s:c>
      <s:c r="T41" s="147"/>
      <s:c r="U41" s="150"/>
      <s:c r="V41" s="149">
        <s:f>V38*$C$45+W38*$C$46+X38*$C$47</s:f>
        <s:v>0</s:v>
      </s:c>
      <s:c r="W41" s="147"/>
      <s:c r="X41" s="150"/>
      <s:c r="Y41" s="149">
        <s:f>Y38*$C$45+Z38*$C$46+AA38*$C$47</s:f>
        <s:v>35650</s:v>
      </s:c>
      <s:c r="Z41" s="147"/>
      <s:c r="AA41" s="150"/>
      <s:c r="AB41" s="149">
        <s:f>AB38*$C$45+AC38*$C$46+AD38*$C$47</s:f>
        <s:v>82400</s:v>
      </s:c>
      <s:c r="AC41" s="147"/>
      <s:c r="AD41" s="150"/>
      <s:c r="AE41" s="146">
        <s:f>AE38*$C$45+AF38*$C$46+AG38*$C$47</s:f>
        <s:v>60150</s:v>
      </s:c>
      <s:c r="AF41" s="147"/>
      <s:c r="AG41" s="148"/>
      <s:c r="AH41" s="149">
        <s:f>AH38*$C$45+AI38*$C$46+AJ38*$C$47</s:f>
        <s:v>7950</s:v>
      </s:c>
      <s:c r="AI41" s="147"/>
      <s:c r="AJ41" s="150"/>
      <s:c r="AK41" s="146">
        <s:f>AK38*$C$45+AL38*$C$46+AM38*$C$47</s:f>
        <s:v>7950</s:v>
      </s:c>
      <s:c r="AL41" s="147"/>
      <s:c r="AM41" s="148"/>
      <s:c r="AN41" s="149">
        <s:f>AN38*$C$45+AO38*$C$46+AP38*$C$47</s:f>
        <s:v>9200</s:v>
      </s:c>
      <s:c r="AO41" s="147"/>
      <s:c r="AP41" s="150"/>
      <s:c r="AQ41" s="146">
        <s:f>AQ38*$C$45+AR38*$C$46+AS38*$C$47</s:f>
        <s:v>10600</s:v>
      </s:c>
      <s:c r="AR41" s="147"/>
      <s:c r="AS41" s="148"/>
      <s:c r="AT41" s="149">
        <s:f>AT38*$C$45+AU38*$C$46+AV38*$C$47</s:f>
        <s:v>10600</s:v>
      </s:c>
      <s:c r="AU41" s="147"/>
      <s:c r="AV41" s="150"/>
      <s:c r="AW41" s="146">
        <s:f>AW38*$C$45+AX38*$C$46+AY38*$C$47</s:f>
        <s:v>3200</s:v>
      </s:c>
      <s:c r="AX41" s="147"/>
      <s:c r="AY41" s="148"/>
      <s:c r="AZ41" s="149">
        <s:f>AZ38*$C$45+BA38*$C$46+BB38*$C$47</s:f>
        <s:v>0</s:v>
      </s:c>
      <s:c r="BA41" s="147"/>
      <s:c r="BB41" s="150"/>
      <s:c r="BC41" s="146">
        <s:f>BC38*$C$45+BD38*$C$46+BE38*$C$47</s:f>
        <s:v>0</s:v>
      </s:c>
      <s:c r="BD41" s="147"/>
      <s:c r="BE41" s="148"/>
      <s:c r="BF41" s="149">
        <s:f>BF38*$C$45+BG38*$C$46+BH38*$C$47</s:f>
        <s:v>0</s:v>
      </s:c>
      <s:c r="BG41" s="147"/>
      <s:c r="BH41" s="150"/>
      <s:c r="BI41" s="146">
        <s:f>BI38*$C$45+BJ38*$C$46+BK38*$C$47</s:f>
        <s:v>0</s:v>
      </s:c>
      <s:c r="BJ41" s="147"/>
      <s:c r="BK41" s="148"/>
      <s:c r="BL41" s="149">
        <s:f>BL38*$C$45+BM38*$C$46+BN38*$C$47</s:f>
        <s:v>0</s:v>
      </s:c>
      <s:c r="BM41" s="147"/>
      <s:c r="BN41" s="150"/>
      <s:c r="BO41" s="146">
        <s:f>BO38*$C$45+BP38*$C$46+BQ38*$C$47</s:f>
        <s:v>0</s:v>
      </s:c>
      <s:c r="BP41" s="147"/>
      <s:c r="BQ41" s="148"/>
      <s:c r="BR41" s="149">
        <s:f>BR38*$C$45+BS38*$C$46+BT38*$C$47</s:f>
        <s:v>0</s:v>
      </s:c>
      <s:c r="BS41" s="147"/>
      <s:c r="BT41" s="150"/>
      <s:c r="BU41" s="146">
        <s:f>BU38*$C$45+BV38*$C$46+BW38*$C$47</s:f>
        <s:v>1950</s:v>
      </s:c>
      <s:c r="BV41" s="147"/>
      <s:c r="BW41" s="148"/>
      <s:c r="BX41" s="149">
        <s:f>BX38*$C$45+BY38*$C$46+BZ38*$C$47</s:f>
        <s:v>0</s:v>
      </s:c>
      <s:c r="BY41" s="147"/>
      <s:c r="BZ41" s="150"/>
      <s:c r="CA41" s="146">
        <s:f>CA38*$C$45+CB38*$C$46+CC38*$C$47</s:f>
        <s:v>0</s:v>
      </s:c>
      <s:c r="CB41" s="147"/>
      <s:c r="CC41" s="148"/>
      <s:c r="CD41" s="149">
        <s:f>CD38*$C$45+CE38*$C$46+CF38*$C$47</s:f>
        <s:v>0</s:v>
      </s:c>
      <s:c r="CE41" s="147"/>
      <s:c r="CF41" s="150"/>
      <s:c r="CG41" s="146">
        <s:f>CG38*$C$45+CH38*$C$46+CI38*$C$47</s:f>
        <s:v>0</s:v>
      </s:c>
      <s:c r="CH41" s="147"/>
      <s:c r="CI41" s="148"/>
      <s:c r="CJ41" s="149">
        <s:f>CJ38*$C$45+CK38*$C$46+CL38*$C$47</s:f>
        <s:v>0</s:v>
      </s:c>
      <s:c r="CK41" s="147"/>
      <s:c r="CL41" s="150"/>
      <s:c r="CM41" s="146">
        <s:f>CM38*$C$45+CN38*$C$46+CO38*$C$47</s:f>
        <s:v>1600</s:v>
      </s:c>
      <s:c r="CN41" s="147"/>
      <s:c r="CO41" s="148"/>
      <s:c r="CP41" s="149">
        <s:f>CP38*$C$45+CQ38*$C$46+CR38*$C$47</s:f>
        <s:v>0</s:v>
      </s:c>
      <s:c r="CQ41" s="147"/>
      <s:c r="CR41" s="150"/>
      <s:c r="CS41" s="106"/>
      <s:c r="CT41" s="107"/>
      <s:c r="CU41" s="107"/>
      <s:c r="CV41" s="116" t="s">
        <s:v>41</s:v>
      </s:c>
      <s:c r="CW41" s="113">
        <s:f>SUM(D41:CR41)</s:f>
        <s:v>232850</s:v>
      </s:c>
      <s:c r="CY41" s="112"/>
    </s:row>
    <s:row r="42" ht="24">
      <s:c r="B42" s="73" t="s">
        <s:v>36</s:v>
      </s:c>
      <s:c r="D42" s="156">
        <s:f>D39*$C$45+E39*$C$46+F39*$C$47</s:f>
        <s:v>0</s:v>
      </s:c>
      <s:c r="E42" s="157"/>
      <s:c r="F42" s="158"/>
      <s:c r="G42" s="159">
        <s:f>G39*$C$45+H39*$C$46+I39*$C$47</s:f>
        <s:v>0</s:v>
      </s:c>
      <s:c r="H42" s="157"/>
      <s:c r="I42" s="160"/>
      <s:c r="J42" s="161">
        <s:f>J39*$C$45+K39*$C$46+L39*$C$47</s:f>
        <s:v>0</s:v>
      </s:c>
      <s:c r="K42" s="162"/>
      <s:c r="L42" s="163"/>
      <s:c r="M42" s="161">
        <s:f>M39*$C$45+N39*$C$46+O39*$C$47</s:f>
        <s:v>0</s:v>
      </s:c>
      <s:c r="N42" s="162"/>
      <s:c r="O42" s="163"/>
      <s:c r="P42" s="161">
        <s:f>P39*$C$45+Q39*$C$46+R39*$C$47</s:f>
        <s:v>0</s:v>
      </s:c>
      <s:c r="Q42" s="162"/>
      <s:c r="R42" s="163"/>
      <s:c r="S42" s="161">
        <s:f>S39*$C$45+T39*$C$46+U39*$C$47</s:f>
        <s:v>0</s:v>
      </s:c>
      <s:c r="T42" s="162"/>
      <s:c r="U42" s="163"/>
      <s:c r="V42" s="161">
        <s:f>V39*$C$45+W39*$C$46+X39*$C$47</s:f>
        <s:v>0</s:v>
      </s:c>
      <s:c r="W42" s="162"/>
      <s:c r="X42" s="163"/>
      <s:c r="Y42" s="161">
        <s:f>Y39*$C$45+Z39*$C$46+AA39*$C$47</s:f>
        <s:v>0</s:v>
      </s:c>
      <s:c r="Z42" s="162"/>
      <s:c r="AA42" s="163"/>
      <s:c r="AB42" s="161">
        <s:f>AB39*$C$45+AC39*$C$46+AD39*$C$47</s:f>
        <s:v>7400</s:v>
      </s:c>
      <s:c r="AC42" s="162"/>
      <s:c r="AD42" s="163"/>
      <s:c r="AE42" s="161">
        <s:f>AE39*$C$45+AF39*$C$46+AG39*$C$47</s:f>
        <s:v>10600</s:v>
      </s:c>
      <s:c r="AF42" s="162"/>
      <s:c r="AG42" s="163"/>
      <s:c r="AH42" s="161">
        <s:f>AH39*$C$45+AI39*$C$46+AJ39*$C$47</s:f>
        <s:v>13000</s:v>
      </s:c>
      <s:c r="AI42" s="162"/>
      <s:c r="AJ42" s="163"/>
      <s:c r="AK42" s="161">
        <s:f>AK39*$C$45+AL39*$C$46+AM39*$C$47</s:f>
        <s:v>15400</s:v>
      </s:c>
      <s:c r="AL42" s="162"/>
      <s:c r="AM42" s="163"/>
      <s:c r="AN42" s="161">
        <s:f>AN39*$C$45+AO39*$C$46+AP39*$C$47</s:f>
        <s:v>13000</s:v>
      </s:c>
      <s:c r="AO42" s="162"/>
      <s:c r="AP42" s="163"/>
      <s:c r="AQ42" s="161">
        <s:f>AQ39*$C$45+AR39*$C$46+AS39*$C$47</s:f>
        <s:v>10600</s:v>
      </s:c>
      <s:c r="AR42" s="162"/>
      <s:c r="AS42" s="163"/>
      <s:c r="AT42" s="156">
        <s:f>AT39*$C$45+AU39*$C$46+AV39*$C$47</s:f>
        <s:v>13150</s:v>
      </s:c>
      <s:c r="AU42" s="157"/>
      <s:c r="AV42" s="158"/>
      <s:c r="AW42" s="159">
        <s:f>AW39*$C$45+AX39*$C$46+AY39*$C$47</s:f>
        <s:v>4900</s:v>
      </s:c>
      <s:c r="AX42" s="157"/>
      <s:c r="AY42" s="160"/>
      <s:c r="AZ42" s="156">
        <s:f>AZ39*$C$45+BA39*$C$46+BB39*$C$47</s:f>
        <s:v>0</s:v>
      </s:c>
      <s:c r="BA42" s="157"/>
      <s:c r="BB42" s="158"/>
      <s:c r="BC42" s="159">
        <s:f>BC39*$C$45+BD39*$C$46+BE39*$C$47</s:f>
        <s:v>0</s:v>
      </s:c>
      <s:c r="BD42" s="157"/>
      <s:c r="BE42" s="160"/>
      <s:c r="BF42" s="156">
        <s:f>BF39*$C$45+BG39*$C$46+BH39*$C$47</s:f>
        <s:v>0</s:v>
      </s:c>
      <s:c r="BG42" s="157"/>
      <s:c r="BH42" s="158"/>
      <s:c r="BI42" s="159">
        <s:f>BI39*$C$45+BJ39*$C$46+BK39*$C$47</s:f>
        <s:v>0</s:v>
      </s:c>
      <s:c r="BJ42" s="157"/>
      <s:c r="BK42" s="160"/>
      <s:c r="BL42" s="156">
        <s:f>BL39*$C$45+BM39*$C$46+BN39*$C$47</s:f>
        <s:v>0</s:v>
      </s:c>
      <s:c r="BM42" s="157"/>
      <s:c r="BN42" s="158"/>
      <s:c r="BO42" s="159">
        <s:f>BO39*$C$45+BP39*$C$46+BQ39*$C$47</s:f>
        <s:v>0</s:v>
      </s:c>
      <s:c r="BP42" s="157"/>
      <s:c r="BQ42" s="160"/>
      <s:c r="BR42" s="156">
        <s:f>BR39*$C$45+BS39*$C$46+BT39*$C$47</s:f>
        <s:v>0</s:v>
      </s:c>
      <s:c r="BS42" s="157"/>
      <s:c r="BT42" s="158"/>
      <s:c r="BU42" s="159">
        <s:f>BU39*$C$45+BV39*$C$46+BW39*$C$47</s:f>
        <s:v>3250</s:v>
      </s:c>
      <s:c r="BV42" s="157"/>
      <s:c r="BW42" s="160"/>
      <s:c r="BX42" s="156">
        <s:f>BX39*$C$45+BY39*$C$46+BZ39*$C$47</s:f>
        <s:v>0</s:v>
      </s:c>
      <s:c r="BY42" s="157"/>
      <s:c r="BZ42" s="158"/>
      <s:c r="CA42" s="159">
        <s:f>CA39*$C$45+CB39*$C$46+CC39*$C$47</s:f>
        <s:v>800</s:v>
      </s:c>
      <s:c r="CB42" s="157"/>
      <s:c r="CC42" s="160"/>
      <s:c r="CD42" s="156">
        <s:f>CD39*$C$45+CE39*$C$46+CF39*$C$47</s:f>
        <s:v>0</s:v>
      </s:c>
      <s:c r="CE42" s="157"/>
      <s:c r="CF42" s="158"/>
      <s:c r="CG42" s="159">
        <s:f>CG39*$C$45+CH39*$C$46+CI39*$C$47</s:f>
        <s:v>2500</s:v>
      </s:c>
      <s:c r="CH42" s="157"/>
      <s:c r="CI42" s="160"/>
      <s:c r="CJ42" s="156">
        <s:f>CJ39*$C$45+CK39*$C$46+CL39*$C$47</s:f>
        <s:v>0</s:v>
      </s:c>
      <s:c r="CK42" s="157"/>
      <s:c r="CL42" s="158"/>
      <s:c r="CM42" s="159">
        <s:f>CM39*$C$45+CN39*$C$46+CO39*$C$47</s:f>
        <s:v>0</s:v>
      </s:c>
      <s:c r="CN42" s="157"/>
      <s:c r="CO42" s="160"/>
      <s:c r="CP42" s="156">
        <s:f>CP39*$C$45+CQ39*$C$46+CR39*$C$47</s:f>
        <s:v>0</s:v>
      </s:c>
      <s:c r="CQ42" s="157"/>
      <s:c r="CR42" s="158"/>
      <s:c r="CS42" s="104"/>
      <s:c r="CT42" s="105"/>
      <s:c r="CU42" s="105"/>
      <s:c r="CV42" s="105"/>
      <s:c r="CW42" s="105"/>
      <s:c r="CX42" s="108" t="s">
        <s:v>37</s:v>
      </s:c>
      <s:c r="CY42" s="113">
        <s:f>SUM(D42:CR42)</s:f>
        <s:v>94600</s:v>
      </s:c>
    </s:row>
    <s:row x14ac:dyDescent="0.3" r="43" spans="1:107" ht="21.6" customHeight="1"/>
    <s:row r="44" ht="21.6">
      <s:c r="B44" s="3" t="s">
        <s:v>22</s:v>
      </s:c>
      <s:c r="C44" s="1" t="s">
        <s:v>21</s:v>
      </s:c>
      <s:c r="D44" s="1" t="s">
        <s:v>20</s:v>
      </s:c>
    </s:row>
    <s:row r="45" ht="21.6">
      <s:c r="B45" s="2" t="s">
        <s:v>14</s:v>
      </s:c>
      <s:c r="C45" s="64">
        <s:v>800</s:v>
      </s:c>
      <s:c r="D45" s="65">
        <s:f>C45*1.2</s:f>
        <s:v>960</s:v>
      </s:c>
      <s:c r="CV45" s="170" t="s">
        <s:v>56</s:v>
      </s:c>
      <s:c r="CW45" s="171"/>
      <s:c r="CX45" s="171"/>
      <s:c r="CY45" s="172"/>
    </s:row>
    <s:row r="46" ht="21">
      <s:c r="B46" s="2" t="s">
        <s:v>15</s:v>
      </s:c>
      <s:c r="C46" s="64">
        <s:v>1000</s:v>
      </s:c>
      <s:c r="D46" s="65">
        <s:f>C46*1.2</s:f>
        <s:v>1200</s:v>
      </s:c>
      <s:c r="CV46" s="142" t="s">
        <s:v>67</s:v>
      </s:c>
      <s:c r="CW46" s="143" t="s">
        <s:v>65</s:v>
      </s:c>
      <s:c r="CX46" s="144"/>
      <s:c r="CY46" s="145">
        <s:f>CX40/1.2*0.2+(CX36-CX40/1.2*0.2)*0.15</s:f>
        <s:v>34457.5</s:v>
      </s:c>
    </s:row>
    <s:row r="47" ht="21">
      <s:c r="B47" s="2" t="s">
        <s:v>16</s:v>
      </s:c>
      <s:c r="C47" s="64">
        <s:v>850</s:v>
      </s:c>
      <s:c r="D47" s="65">
        <s:f>C47*1.2</s:f>
        <s:v>1020</s:v>
      </s:c>
      <s:c r="CV47" s="142" t="s">
        <s:v>68</s:v>
      </s:c>
      <s:c r="CW47" s="143" t="s">
        <s:v>65</s:v>
      </s:c>
      <s:c r="CX47" s="144"/>
      <s:c r="CY47" s="145">
        <s:f>CW36*0.15</s:f>
        <s:v>34927.5</s:v>
      </s:c>
    </s:row>
    <s:row r="48" ht="21.75">
      <s:c r="CV48" s="130" t="s">
        <s:v>57</s:v>
      </s:c>
      <s:c r="CW48" s="141" t="s">
        <s:v>66</s:v>
      </s:c>
      <s:c r="CX48" s="125"/>
      <s:c r="CY48" s="131">
        <s:v>89730</s:v>
      </s:c>
    </s:row>
    <s:row r="49" ht="21.75">
      <s:c r="CV49" s="130" t="s">
        <s:v>58</s:v>
      </s:c>
      <s:c r="CW49" s="141" t="s">
        <s:v>66</s:v>
      </s:c>
      <s:c r="CX49" s="125"/>
      <s:c r="CY49" s="131">
        <s:v>154200</s:v>
      </s:c>
    </s:row>
    <s:row r="50" ht="21">
      <s:c r="CV50" s="130" t="s">
        <s:v>59</s:v>
      </s:c>
      <s:c r="CW50" s="141" t="s">
        <s:v>65</s:v>
      </s:c>
      <s:c r="CX50" s="125"/>
      <s:c r="CY50" s="132"/>
    </s:row>
    <s:row r="51" ht="21">
      <s:c r="C51" s="64" t="s">
        <s:v>84</s:v>
      </s:c>
      <s:c r="CV51" s="130" t="s">
        <s:v>62</s:v>
      </s:c>
      <s:c r="CW51" s="141"/>
      <s:c r="CX51" s="125"/>
      <s:c r="CY51" s="132"/>
    </s:row>
    <s:row r="52" ht="21">
      <s:c r="C52" s="64" t="s">
        <s:v>17</s:v>
      </s:c>
      <s:c r="CV52" s="130"/>
      <s:c r="CW52" s="141"/>
      <s:c r="CX52" s="125"/>
      <s:c r="CY52" s="132"/>
    </s:row>
    <s:row r="53" ht="21.6">
      <s:c r="C53" s="64" t="s">
        <s:v>18</s:v>
      </s:c>
      <s:c r="CV53" s="176" t="s">
        <s:v>61</s:v>
      </s:c>
      <s:c r="CW53" s="177"/>
      <s:c r="CX53" s="178"/>
      <s:c r="CY53" s="179">
        <s:f>CV36-SUM(CY46:CY52)</s:f>
        <s:v>132275</s:v>
      </s:c>
    </s:row>
    <s:row r="54" ht="21">
      <s:c r="C54" s="64" t="s">
        <s:v>28</s:v>
      </s:c>
      <s:c r="CV54" s="129" t="s">
        <s:v>64</s:v>
      </s:c>
      <s:c r="CW54" s="137"/>
      <s:c r="CX54" s="137"/>
      <s:c r="CY54" s="139">
        <s:f>CY36-SUMIF(CW46:CW52,"наличные",CY46:CY52)</s:f>
        <s:v>-149330</s:v>
      </s:c>
    </s:row>
    <s:row r="55" ht="21.6">
      <s:c r="CV55" s="133" t="s">
        <s:v>63</s:v>
      </s:c>
      <s:c r="CW55" s="138"/>
      <s:c r="CX55" s="138"/>
      <s:c r="CY55" s="140">
        <s:f>CW36+CX36-SUMIF(CW46:CW52,"безнал",CY46:CY52)</s:f>
        <s:v>281605</s:v>
      </s:c>
    </s:row>
    <s:row r="57">
      <s:c r="CY57" s="128"/>
    </s:row>
  </s:sheetData>
  <s:mergeCells count="127">
    <s:mergeCell ref="CM42:CO42"/>
    <s:mergeCell ref="CP42:CR42"/>
    <s:mergeCell ref="CV45:CY45"/>
    <s:mergeCell ref="BU42:BW42"/>
    <s:mergeCell ref="BX42:BZ42"/>
    <s:mergeCell ref="CA42:CC42"/>
    <s:mergeCell ref="CD42:CF42"/>
    <s:mergeCell ref="CG42:CI42"/>
    <s:mergeCell ref="CJ42:CL42"/>
    <s:mergeCell ref="BC42:BE42"/>
    <s:mergeCell ref="BF42:BH42"/>
    <s:mergeCell ref="BI42:BK42"/>
    <s:mergeCell ref="BL42:BN42"/>
    <s:mergeCell ref="BO42:BQ42"/>
    <s:mergeCell ref="BR42:BT42"/>
    <s:mergeCell ref="AK42:AM42"/>
    <s:mergeCell ref="AN42:AP42"/>
    <s:mergeCell ref="AQ42:AS42"/>
    <s:mergeCell ref="AT42:AV42"/>
    <s:mergeCell ref="AW42:AY42"/>
    <s:mergeCell ref="AZ42:BB42"/>
    <s:mergeCell ref="S42:U42"/>
    <s:mergeCell ref="V42:X42"/>
    <s:mergeCell ref="Y42:AA42"/>
    <s:mergeCell ref="AB42:AD42"/>
    <s:mergeCell ref="AE42:AG42"/>
    <s:mergeCell ref="AH42:AJ42"/>
    <s:mergeCell ref="CD41:CF41"/>
    <s:mergeCell ref="CG41:CI41"/>
    <s:mergeCell ref="CJ41:CL41"/>
    <s:mergeCell ref="CM41:CO41"/>
    <s:mergeCell ref="CP41:CR41"/>
    <s:mergeCell ref="D42:F42"/>
    <s:mergeCell ref="G42:I42"/>
    <s:mergeCell ref="J42:L42"/>
    <s:mergeCell ref="M42:O42"/>
    <s:mergeCell ref="P42:R42"/>
    <s:mergeCell ref="BL41:BN41"/>
    <s:mergeCell ref="BO41:BQ41"/>
    <s:mergeCell ref="BR41:BT41"/>
    <s:mergeCell ref="BU41:BW41"/>
    <s:mergeCell ref="BX41:BZ41"/>
    <s:mergeCell ref="CA41:CC41"/>
    <s:mergeCell ref="AT41:AV41"/>
    <s:mergeCell ref="AW41:AY41"/>
    <s:mergeCell ref="AZ41:BB41"/>
    <s:mergeCell ref="BC41:BE41"/>
    <s:mergeCell ref="BF41:BH41"/>
    <s:mergeCell ref="BI41:BK41"/>
    <s:mergeCell ref="AB41:AD41"/>
    <s:mergeCell ref="AE41:AG41"/>
    <s:mergeCell ref="AH41:AJ41"/>
    <s:mergeCell ref="AK41:AM41"/>
    <s:mergeCell ref="AN41:AP41"/>
    <s:mergeCell ref="AQ41:AS41"/>
    <s:mergeCell ref="CM40:CO40"/>
    <s:mergeCell ref="CP40:CR40"/>
    <s:mergeCell ref="D41:F41"/>
    <s:mergeCell ref="G41:I41"/>
    <s:mergeCell ref="J41:L41"/>
    <s:mergeCell ref="M41:O41"/>
    <s:mergeCell ref="P41:R41"/>
    <s:mergeCell ref="S41:U41"/>
    <s:mergeCell ref="V41:X41"/>
    <s:mergeCell ref="Y41:AA41"/>
    <s:mergeCell ref="BU40:BW40"/>
    <s:mergeCell ref="BX40:BZ40"/>
    <s:mergeCell ref="CA40:CC40"/>
    <s:mergeCell ref="CD40:CF40"/>
    <s:mergeCell ref="CG40:CI40"/>
    <s:mergeCell ref="CJ40:CL40"/>
    <s:mergeCell ref="BC40:BE40"/>
    <s:mergeCell ref="BF40:BH40"/>
    <s:mergeCell ref="BI40:BK40"/>
    <s:mergeCell ref="BL40:BN40"/>
    <s:mergeCell ref="BO40:BQ40"/>
    <s:mergeCell ref="BR40:BT40"/>
    <s:mergeCell ref="AK40:AM40"/>
    <s:mergeCell ref="AN40:AP40"/>
    <s:mergeCell ref="AQ40:AS40"/>
    <s:mergeCell ref="AT40:AV40"/>
    <s:mergeCell ref="AW40:AY40"/>
    <s:mergeCell ref="AZ40:BB40"/>
    <s:mergeCell ref="S40:U40"/>
    <s:mergeCell ref="V40:X40"/>
    <s:mergeCell ref="Y40:AA40"/>
    <s:mergeCell ref="AB40:AD40"/>
    <s:mergeCell ref="AE40:AG40"/>
    <s:mergeCell ref="AH40:AJ40"/>
    <s:mergeCell ref="CG2:CI2"/>
    <s:mergeCell ref="CJ2:CL2"/>
    <s:mergeCell ref="CM2:CO2"/>
    <s:mergeCell ref="CP2:CR2"/>
    <s:mergeCell ref="CV35:CY35"/>
    <s:mergeCell ref="D40:F40"/>
    <s:mergeCell ref="G40:I40"/>
    <s:mergeCell ref="J40:L40"/>
    <s:mergeCell ref="M40:O40"/>
    <s:mergeCell ref="P40:R40"/>
    <s:mergeCell ref="BO2:BQ2"/>
    <s:mergeCell ref="BR2:BT2"/>
    <s:mergeCell ref="BU2:BW2"/>
    <s:mergeCell ref="BX2:BZ2"/>
    <s:mergeCell ref="CA2:CC2"/>
    <s:mergeCell ref="CD2:CF2"/>
    <s:mergeCell ref="AW2:AY2"/>
    <s:mergeCell ref="AZ2:BB2"/>
    <s:mergeCell ref="BC2:BE2"/>
    <s:mergeCell ref="BF2:BH2"/>
    <s:mergeCell ref="BI2:BK2"/>
    <s:mergeCell ref="BL2:BN2"/>
    <s:mergeCell ref="AE2:AG2"/>
    <s:mergeCell ref="AH2:AJ2"/>
    <s:mergeCell ref="AK2:AM2"/>
    <s:mergeCell ref="AN2:AP2"/>
    <s:mergeCell ref="AQ2:AS2"/>
    <s:mergeCell ref="AT2:AV2"/>
    <s:mergeCell ref="AY1:BH1"/>
    <s:mergeCell ref="D2:F2"/>
    <s:mergeCell ref="G2:I2"/>
    <s:mergeCell ref="J2:L2"/>
    <s:mergeCell ref="M2:O2"/>
    <s:mergeCell ref="P2:R2"/>
    <s:mergeCell ref="S2:U2"/>
    <s:mergeCell ref="V2:X2"/>
    <s:mergeCell ref="Y2:AA2"/>
    <s:mergeCell ref="AB2:AD2"/>
  </s:mergeCells>
  <s:conditionalFormatting sqref="B4:C34">
    <s:cfRule type="containsBlanks" dxfId="169" priority="5">
      <s:formula>LEN(TRIM(B4))=0</s:formula>
    </s:cfRule>
  </s:conditionalFormatting>
  <s:conditionalFormatting sqref="D2 G2 J2 M2 P2 S2 V2 Y2 AB2 AE2 AH2 AK2 AN2 AQ2 AT2 AW2 AZ2 BC2 BF2 BI2 BL2 BO2 BR2 BU2 BX2 CA2 CD2 CG2 CJ2 CM2 CP2">
    <s:cfRule type="timePeriod" dxfId="168" priority="6" timePeriod="today">
      <s:formula>FLOOR(D2,1)=TODAY()</s:formula>
    </s:cfRule>
  </s:conditionalFormatting>
  <s:conditionalFormatting sqref="F4:CR34">
    <s:cfRule type="cellIs" dxfId="167" priority="3" operator="equal">
      <s:formula>0</s:formula>
    </s:cfRule>
    <s:cfRule type="containsBlanks" dxfId="166" priority="4">
      <s:formula>LEN(TRIM(F4))=0</s:formula>
    </s:cfRule>
  </s:conditionalFormatting>
  <s:conditionalFormatting sqref="H4:H34">
    <s:cfRule type="expression" dxfId="165" priority="10">
      <s:formula>AND(COLUMN()&gt;COLUMN($F$4),C4&lt;&gt;"",H4&gt;C4)</s:formula>
    </s:cfRule>
    <s:cfRule type="expression" dxfId="164" priority="11">
      <s:formula>AND(COLUMN()&gt;COLUMN($F$4),C4&lt;&gt;"",H4&lt;C4)</s:formula>
    </s:cfRule>
  </s:conditionalFormatting>
  <s:conditionalFormatting sqref="I3 L3 O3 R3 U3 X3 AA3 AD3 AG3 AJ3 AM3 AP3 AS3 AV3 AY3 BB3 BE3 BH3 BK3 BN3 BQ3 BT3 BW3 BZ3 CC3 CF3 CI3 CL3 CO3 CR3">
    <s:cfRule type="timePeriod" dxfId="163" priority="2" timePeriod="today">
      <s:formula>FLOOR(I3,1)=TODAY()</s:formula>
    </s:cfRule>
  </s:conditionalFormatting>
  <s:conditionalFormatting sqref="I35 L35 O35 R35 U35 X35 AA35 AD35 AG35 AJ35 AM35 AP35 AS35 AV35 AY35 BB35 BE35 BH35 BK35 BN35 BQ35 BT35 BW35 BZ35 CC35 CF35 CI35 CL35 CO35 CR35">
    <s:cfRule type="timePeriod" dxfId="162" priority="1" timePeriod="today">
      <s:formula>FLOOR(I35,1)=TODAY()</s:formula>
    </s:cfRule>
  </s:conditionalFormatting>
  <s:conditionalFormatting sqref="I4:J34">
    <s:cfRule type="expression" dxfId="161" priority="12">
      <s:formula>AND(COLUMN()&gt;COLUMN($F$4),C4&lt;&gt;"",I4&gt;C4)</s:formula>
    </s:cfRule>
    <s:cfRule type="expression" dxfId="160" priority="13">
      <s:formula>AND(COLUMN()&gt;COLUMN($F$4),C4&lt;&gt;"",I4&lt;C4)</s:formula>
    </s:cfRule>
  </s:conditionalFormatting>
  <s:conditionalFormatting sqref="K4:K34">
    <s:cfRule type="expression" dxfId="159" priority="14">
      <s:formula>AND(COLUMN()&gt;COLUMN($F$4),D4&lt;&gt;"",K4&gt;D4)</s:formula>
    </s:cfRule>
    <s:cfRule type="expression" dxfId="158" priority="15">
      <s:formula>AND(COLUMN()&gt;COLUMN($F$4),D4&lt;&gt;"",K4&lt;D4)</s:formula>
    </s:cfRule>
  </s:conditionalFormatting>
  <s:conditionalFormatting sqref="L4:M34">
    <s:cfRule type="expression" dxfId="157" priority="16">
      <s:formula>AND(COLUMN()&gt;COLUMN($F$4),D4&lt;&gt;"",L4&gt;D4)</s:formula>
    </s:cfRule>
    <s:cfRule type="expression" dxfId="156" priority="17">
      <s:formula>AND(COLUMN()&gt;COLUMN($F$4),D4&lt;&gt;"",L4&lt;D4)</s:formula>
    </s:cfRule>
  </s:conditionalFormatting>
  <s:conditionalFormatting sqref="N4:N34">
    <s:cfRule type="expression" dxfId="155" priority="18">
      <s:formula>AND(COLUMN()&gt;COLUMN($F$4),E4&lt;&gt;"",N4&gt;E4)</s:formula>
    </s:cfRule>
    <s:cfRule type="expression" dxfId="154" priority="19">
      <s:formula>AND(COLUMN()&gt;COLUMN($F$4),E4&lt;&gt;"",N4&lt;E4)</s:formula>
    </s:cfRule>
  </s:conditionalFormatting>
  <s:conditionalFormatting sqref="O4:P34">
    <s:cfRule type="expression" dxfId="153" priority="20">
      <s:formula>AND(COLUMN()&gt;COLUMN($F$4),E4&lt;&gt;"",O4&gt;E4)</s:formula>
    </s:cfRule>
    <s:cfRule type="expression" dxfId="152" priority="21">
      <s:formula>AND(COLUMN()&gt;COLUMN($F$4),E4&lt;&gt;"",O4&lt;E4)</s:formula>
    </s:cfRule>
  </s:conditionalFormatting>
  <s:conditionalFormatting sqref="Q4:Q34">
    <s:cfRule type="expression" dxfId="151" priority="22">
      <s:formula>AND(COLUMN()&gt;COLUMN($F$4),F4&lt;&gt;"",Q4&gt;F4)</s:formula>
    </s:cfRule>
    <s:cfRule type="expression" dxfId="150" priority="23">
      <s:formula>AND(COLUMN()&gt;COLUMN($F$4),F4&lt;&gt;"",Q4&lt;F4)</s:formula>
    </s:cfRule>
  </s:conditionalFormatting>
  <s:conditionalFormatting sqref="R4:S34">
    <s:cfRule type="expression" dxfId="149" priority="24">
      <s:formula>AND(COLUMN()&gt;COLUMN($F$4),F4&lt;&gt;"",R4&gt;F4)</s:formula>
    </s:cfRule>
    <s:cfRule type="expression" dxfId="148" priority="25">
      <s:formula>AND(COLUMN()&gt;COLUMN($F$4),F4&lt;&gt;"",R4&lt;F4)</s:formula>
    </s:cfRule>
  </s:conditionalFormatting>
  <s:conditionalFormatting sqref="T4:T34">
    <s:cfRule type="expression" dxfId="147" priority="26">
      <s:formula>AND(COLUMN()&gt;COLUMN($F$4),G4&lt;&gt;"",T4&gt;G4)</s:formula>
    </s:cfRule>
    <s:cfRule type="expression" dxfId="146" priority="27">
      <s:formula>AND(COLUMN()&gt;COLUMN($F$4),G4&lt;&gt;"",T4&lt;G4)</s:formula>
    </s:cfRule>
  </s:conditionalFormatting>
  <s:conditionalFormatting sqref="U4:V34">
    <s:cfRule type="expression" dxfId="145" priority="28">
      <s:formula>AND(COLUMN()&gt;COLUMN($F$4),G4&lt;&gt;"",U4&gt;G4)</s:formula>
    </s:cfRule>
    <s:cfRule type="expression" dxfId="144" priority="29">
      <s:formula>AND(COLUMN()&gt;COLUMN($F$4),G4&lt;&gt;"",U4&lt;G4)</s:formula>
    </s:cfRule>
  </s:conditionalFormatting>
  <s:conditionalFormatting sqref="W4:W34">
    <s:cfRule type="expression" dxfId="143" priority="30">
      <s:formula>AND(COLUMN()&gt;COLUMN($F$4),H4&lt;&gt;"",W4&gt;H4)</s:formula>
    </s:cfRule>
    <s:cfRule type="expression" dxfId="142" priority="31">
      <s:formula>AND(COLUMN()&gt;COLUMN($F$4),H4&lt;&gt;"",W4&lt;H4)</s:formula>
    </s:cfRule>
  </s:conditionalFormatting>
  <s:conditionalFormatting sqref="X4:Y34">
    <s:cfRule type="expression" dxfId="141" priority="32">
      <s:formula>AND(COLUMN()&gt;COLUMN($F$4),H4&lt;&gt;"",X4&gt;H4)</s:formula>
    </s:cfRule>
    <s:cfRule type="expression" dxfId="140" priority="33">
      <s:formula>AND(COLUMN()&gt;COLUMN($F$4),H4&lt;&gt;"",X4&lt;H4)</s:formula>
    </s:cfRule>
  </s:conditionalFormatting>
  <s:conditionalFormatting sqref="Z4:Z34">
    <s:cfRule type="expression" dxfId="139" priority="34">
      <s:formula>AND(COLUMN()&gt;COLUMN($F$4),I4&lt;&gt;"",Z4&gt;I4)</s:formula>
    </s:cfRule>
    <s:cfRule type="expression" dxfId="138" priority="35">
      <s:formula>AND(COLUMN()&gt;COLUMN($F$4),I4&lt;&gt;"",Z4&lt;I4)</s:formula>
    </s:cfRule>
  </s:conditionalFormatting>
  <s:conditionalFormatting sqref="AA4:AB34">
    <s:cfRule type="expression" dxfId="137" priority="36">
      <s:formula>AND(COLUMN()&gt;COLUMN($F$4),I4&lt;&gt;"",AA4&gt;I4)</s:formula>
    </s:cfRule>
    <s:cfRule type="expression" dxfId="136" priority="37">
      <s:formula>AND(COLUMN()&gt;COLUMN($F$4),I4&lt;&gt;"",AA4&lt;I4)</s:formula>
    </s:cfRule>
  </s:conditionalFormatting>
  <s:conditionalFormatting sqref="AC4:AC34">
    <s:cfRule type="expression" dxfId="135" priority="38">
      <s:formula>AND(COLUMN()&gt;COLUMN($F$4),J4&lt;&gt;"",AC4&gt;J4)</s:formula>
    </s:cfRule>
    <s:cfRule type="expression" dxfId="134" priority="39">
      <s:formula>AND(COLUMN()&gt;COLUMN($F$4),J4&lt;&gt;"",AC4&lt;J4)</s:formula>
    </s:cfRule>
  </s:conditionalFormatting>
  <s:conditionalFormatting sqref="AD4:AF34">
    <s:cfRule type="expression" dxfId="133" priority="40">
      <s:formula>AND(COLUMN()&gt;COLUMN($F$4),J4&lt;&gt;"",AD4&gt;J4)</s:formula>
    </s:cfRule>
    <s:cfRule type="expression" dxfId="132" priority="41">
      <s:formula>AND(COLUMN()&gt;COLUMN($F$4),J4&lt;&gt;"",AD4&lt;J4)</s:formula>
    </s:cfRule>
  </s:conditionalFormatting>
  <s:conditionalFormatting sqref="AG4:AI34">
    <s:cfRule type="expression" dxfId="131" priority="42">
      <s:formula>AND(COLUMN()&gt;COLUMN($F$4),K4&lt;&gt;"",AG4&gt;K4)</s:formula>
    </s:cfRule>
    <s:cfRule type="expression" dxfId="130" priority="43">
      <s:formula>AND(COLUMN()&gt;COLUMN($F$4),K4&lt;&gt;"",AG4&lt;K4)</s:formula>
    </s:cfRule>
  </s:conditionalFormatting>
  <s:conditionalFormatting sqref="AJ4:AL34">
    <s:cfRule type="expression" dxfId="129" priority="44">
      <s:formula>AND(COLUMN()&gt;COLUMN($F$4),L4&lt;&gt;"",AJ4&gt;L4)</s:formula>
    </s:cfRule>
    <s:cfRule type="expression" dxfId="128" priority="45">
      <s:formula>AND(COLUMN()&gt;COLUMN($F$4),L4&lt;&gt;"",AJ4&lt;L4)</s:formula>
    </s:cfRule>
  </s:conditionalFormatting>
  <s:conditionalFormatting sqref="AM4:AO34">
    <s:cfRule type="expression" dxfId="127" priority="46">
      <s:formula>AND(COLUMN()&gt;COLUMN($F$4),M4&lt;&gt;"",AM4&gt;M4)</s:formula>
    </s:cfRule>
    <s:cfRule type="expression" dxfId="126" priority="47">
      <s:formula>AND(COLUMN()&gt;COLUMN($F$4),M4&lt;&gt;"",AM4&lt;M4)</s:formula>
    </s:cfRule>
  </s:conditionalFormatting>
  <s:conditionalFormatting sqref="AP4:AR34">
    <s:cfRule type="expression" dxfId="125" priority="48">
      <s:formula>AND(COLUMN()&gt;COLUMN($F$4),N4&lt;&gt;"",AP4&gt;N4)</s:formula>
    </s:cfRule>
    <s:cfRule type="expression" dxfId="124" priority="49">
      <s:formula>AND(COLUMN()&gt;COLUMN($F$4),N4&lt;&gt;"",AP4&lt;N4)</s:formula>
    </s:cfRule>
  </s:conditionalFormatting>
  <s:conditionalFormatting sqref="AS4:AU34">
    <s:cfRule type="expression" dxfId="123" priority="50">
      <s:formula>AND(COLUMN()&gt;COLUMN($F$4),O4&lt;&gt;"",AS4&gt;O4)</s:formula>
    </s:cfRule>
    <s:cfRule type="expression" dxfId="122" priority="51">
      <s:formula>AND(COLUMN()&gt;COLUMN($F$4),O4&lt;&gt;"",AS4&lt;O4)</s:formula>
    </s:cfRule>
  </s:conditionalFormatting>
  <s:conditionalFormatting sqref="AV4:AX34">
    <s:cfRule type="expression" dxfId="121" priority="52">
      <s:formula>AND(COLUMN()&gt;COLUMN($F$4),P4&lt;&gt;"",AV4&gt;P4)</s:formula>
    </s:cfRule>
    <s:cfRule type="expression" dxfId="120" priority="53">
      <s:formula>AND(COLUMN()&gt;COLUMN($F$4),P4&lt;&gt;"",AV4&lt;P4)</s:formula>
    </s:cfRule>
  </s:conditionalFormatting>
  <s:conditionalFormatting sqref="AY4:BA34">
    <s:cfRule type="expression" dxfId="119" priority="54">
      <s:formula>AND(COLUMN()&gt;COLUMN($F$4),Q4&lt;&gt;"",AY4&gt;Q4)</s:formula>
    </s:cfRule>
    <s:cfRule type="expression" dxfId="118" priority="55">
      <s:formula>AND(COLUMN()&gt;COLUMN($F$4),Q4&lt;&gt;"",AY4&lt;Q4)</s:formula>
    </s:cfRule>
  </s:conditionalFormatting>
  <s:conditionalFormatting sqref="BB4:BD34">
    <s:cfRule type="expression" dxfId="117" priority="56">
      <s:formula>AND(COLUMN()&gt;COLUMN($F$4),R4&lt;&gt;"",BB4&gt;R4)</s:formula>
    </s:cfRule>
    <s:cfRule type="expression" dxfId="116" priority="57">
      <s:formula>AND(COLUMN()&gt;COLUMN($F$4),R4&lt;&gt;"",BB4&lt;R4)</s:formula>
    </s:cfRule>
  </s:conditionalFormatting>
  <s:conditionalFormatting sqref="BE4:BG34">
    <s:cfRule type="expression" dxfId="115" priority="58">
      <s:formula>AND(COLUMN()&gt;COLUMN($F$4),S4&lt;&gt;"",BE4&gt;S4)</s:formula>
    </s:cfRule>
    <s:cfRule type="expression" dxfId="114" priority="59">
      <s:formula>AND(COLUMN()&gt;COLUMN($F$4),S4&lt;&gt;"",BE4&lt;S4)</s:formula>
    </s:cfRule>
  </s:conditionalFormatting>
  <s:conditionalFormatting sqref="BH4:BJ34">
    <s:cfRule type="expression" dxfId="113" priority="60">
      <s:formula>AND(COLUMN()&gt;COLUMN($F$4),T4&lt;&gt;"",BH4&gt;T4)</s:formula>
    </s:cfRule>
    <s:cfRule type="expression" dxfId="112" priority="61">
      <s:formula>AND(COLUMN()&gt;COLUMN($F$4),T4&lt;&gt;"",BH4&lt;T4)</s:formula>
    </s:cfRule>
  </s:conditionalFormatting>
  <s:conditionalFormatting sqref="BK4:BM34">
    <s:cfRule type="expression" dxfId="111" priority="62">
      <s:formula>AND(COLUMN()&gt;COLUMN($F$4),U4&lt;&gt;"",BK4&gt;U4)</s:formula>
    </s:cfRule>
    <s:cfRule type="expression" dxfId="110" priority="63">
      <s:formula>AND(COLUMN()&gt;COLUMN($F$4),U4&lt;&gt;"",BK4&lt;U4)</s:formula>
    </s:cfRule>
  </s:conditionalFormatting>
  <s:conditionalFormatting sqref="BN4:BP34">
    <s:cfRule type="expression" dxfId="109" priority="64">
      <s:formula>AND(COLUMN()&gt;COLUMN($F$4),V4&lt;&gt;"",BN4&gt;V4)</s:formula>
    </s:cfRule>
    <s:cfRule type="expression" dxfId="108" priority="65">
      <s:formula>AND(COLUMN()&gt;COLUMN($F$4),V4&lt;&gt;"",BN4&lt;V4)</s:formula>
    </s:cfRule>
  </s:conditionalFormatting>
  <s:conditionalFormatting sqref="BQ4:BS34">
    <s:cfRule type="expression" dxfId="107" priority="66">
      <s:formula>AND(COLUMN()&gt;COLUMN($F$4),W4&lt;&gt;"",BQ4&gt;W4)</s:formula>
    </s:cfRule>
    <s:cfRule type="expression" dxfId="106" priority="67">
      <s:formula>AND(COLUMN()&gt;COLUMN($F$4),W4&lt;&gt;"",BQ4&lt;W4)</s:formula>
    </s:cfRule>
  </s:conditionalFormatting>
  <s:conditionalFormatting sqref="BT4:BV34">
    <s:cfRule type="expression" dxfId="105" priority="68">
      <s:formula>AND(COLUMN()&gt;COLUMN($F$4),X4&lt;&gt;"",BT4&gt;X4)</s:formula>
    </s:cfRule>
    <s:cfRule type="expression" dxfId="104" priority="69">
      <s:formula>AND(COLUMN()&gt;COLUMN($F$4),X4&lt;&gt;"",BT4&lt;X4)</s:formula>
    </s:cfRule>
  </s:conditionalFormatting>
  <s:conditionalFormatting sqref="BW4:BY34">
    <s:cfRule type="expression" dxfId="103" priority="70">
      <s:formula>AND(COLUMN()&gt;COLUMN($F$4),Y4&lt;&gt;"",BW4&gt;Y4)</s:formula>
    </s:cfRule>
    <s:cfRule type="expression" dxfId="102" priority="71">
      <s:formula>AND(COLUMN()&gt;COLUMN($F$4),Y4&lt;&gt;"",BW4&lt;Y4)</s:formula>
    </s:cfRule>
  </s:conditionalFormatting>
  <s:conditionalFormatting sqref="BZ4:CB34">
    <s:cfRule type="expression" dxfId="101" priority="72">
      <s:formula>AND(COLUMN()&gt;COLUMN($F$4),Z4&lt;&gt;"",BZ4&gt;Z4)</s:formula>
    </s:cfRule>
    <s:cfRule type="expression" dxfId="100" priority="73">
      <s:formula>AND(COLUMN()&gt;COLUMN($F$4),Z4&lt;&gt;"",BZ4&lt;Z4)</s:formula>
    </s:cfRule>
  </s:conditionalFormatting>
  <s:conditionalFormatting sqref="CC4:CE34">
    <s:cfRule type="expression" dxfId="99" priority="74">
      <s:formula>AND(COLUMN()&gt;COLUMN($F$4),AA4&lt;&gt;"",CC4&gt;AA4)</s:formula>
    </s:cfRule>
    <s:cfRule type="expression" dxfId="98" priority="75">
      <s:formula>AND(COLUMN()&gt;COLUMN($F$4),AA4&lt;&gt;"",CC4&lt;AA4)</s:formula>
    </s:cfRule>
  </s:conditionalFormatting>
  <s:conditionalFormatting sqref="CF4:CH34">
    <s:cfRule type="expression" dxfId="97" priority="76">
      <s:formula>AND(COLUMN()&gt;COLUMN($F$4),AB4&lt;&gt;"",CF4&gt;AB4)</s:formula>
    </s:cfRule>
    <s:cfRule type="expression" dxfId="96" priority="77">
      <s:formula>AND(COLUMN()&gt;COLUMN($F$4),AB4&lt;&gt;"",CF4&lt;AB4)</s:formula>
    </s:cfRule>
  </s:conditionalFormatting>
  <s:conditionalFormatting sqref="CI4:CK34">
    <s:cfRule type="expression" dxfId="95" priority="78">
      <s:formula>AND(COLUMN()&gt;COLUMN($F$4),AC4&lt;&gt;"",CI4&gt;AC4)</s:formula>
    </s:cfRule>
    <s:cfRule type="expression" dxfId="94" priority="79">
      <s:formula>AND(COLUMN()&gt;COLUMN($F$4),AC4&lt;&gt;"",CI4&lt;AC4)</s:formula>
    </s:cfRule>
  </s:conditionalFormatting>
  <s:conditionalFormatting sqref="CL4:CN34">
    <s:cfRule type="expression" dxfId="93" priority="80">
      <s:formula>AND(COLUMN()&gt;COLUMN($F$4),AD4&lt;&gt;"",CL4&gt;AD4)</s:formula>
    </s:cfRule>
    <s:cfRule type="expression" dxfId="92" priority="81">
      <s:formula>AND(COLUMN()&gt;COLUMN($F$4),AD4&lt;&gt;"",CL4&lt;AD4)</s:formula>
    </s:cfRule>
  </s:conditionalFormatting>
  <s:conditionalFormatting sqref="CO4:CQ34">
    <s:cfRule type="expression" dxfId="91" priority="82">
      <s:formula>AND(COLUMN()&gt;COLUMN($F$4),AE4&lt;&gt;"",CO4&gt;AE4)</s:formula>
    </s:cfRule>
    <s:cfRule type="expression" dxfId="90" priority="83">
      <s:formula>AND(COLUMN()&gt;COLUMN($F$4),AE4&lt;&gt;"",CO4&lt;AE4)</s:formula>
    </s:cfRule>
  </s:conditionalFormatting>
  <s:conditionalFormatting sqref="CR4:CR34">
    <s:cfRule type="expression" dxfId="89" priority="84">
      <s:formula>AND(COLUMN()&gt;COLUMN($F$4),AF4&lt;&gt;"",CR4&gt;AF4)</s:formula>
    </s:cfRule>
    <s:cfRule type="expression" dxfId="88" priority="85">
      <s:formula>AND(COLUMN()&gt;COLUMN($F$4),AF4&lt;&gt;"",CR4&lt;AF4)</s:formula>
    </s:cfRule>
  </s:conditionalFormatting>
  <s:conditionalFormatting sqref="B35:C35">
    <s:cfRule type="expression" dxfId="2" priority="576">
      <s:formula>$CZ35=$DE$4</s:formula>
    </s:cfRule>
    <s:cfRule type="expression" dxfId="1" priority="577">
      <s:formula>$CZ35=$DE$5</s:formula>
    </s:cfRule>
    <s:cfRule type="expression" dxfId="0" priority="578">
      <s:formula>$CZ35=#REF!</s:formula>
    </s:cfRule>
  </s:conditionalFormatting>
  <s:dataValidations count="2">
    <s:dataValidation xr:uid="{3E6BF86C-49D4-4E95-B4F6-731E6B104138}" type="list" allowBlank="1" showInputMessage="1" showErrorMessage="1" sqref="CW46:CW52" vyd:viewType="arrow" mc:Ignorable="vyd">
      <s:formula1>"безнал,наличные"</s:formula1>
    </s:dataValidation>
    <s:dataValidation type="list" allowBlank="1" showInputMessage="1" showErrorMessage="1" sqref="C4:C34" vyd:viewType="arrow" mc:Ignorable="vyd">
      <s:formula1>'Ноябрь 26'!C52:C54</s:formula1>
    </s:dataValidation>
  </s:dataValidations>
  <s:pageMargins left="0.7" right="0.7" top="0.75" bottom="0.75" header="0.3" footer="0.3"/>
  <s:pageSetup paperSize="9" orientation="portrait" r:id="rId1"/>
  <s:legacyDrawing r:id="rId2"/>
</s:worksheet>
</file>

<file path=xl/worksheets/sheet2.xml><?xml version="1.0" encoding="utf-8"?>
<s:worksheet xmlns:xr="http://schemas.microsoft.com/office/spreadsheetml/2014/revision" xmlns: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xmlns:vyd="http://volga.yandex.com/schemas/document/model">
  <s:dimension ref="A1:DC57"/>
  <s:sheetViews>
    <s:sheetView tabSelected="0" zoomScale="50" zoomScaleNormal="50" workbookViewId="0">
      <s:pane xSplit="3" topLeftCell="CG1" activePane="topRight" state="frozen"/>
      <s:selection pane="topRight" activeCell="CY50" sqref="CY50"/>
    </s:sheetView>
  </s:sheetViews>
  <s:sheetFormatPr x14ac:dyDescent="0.3" defaultColWidth="10" defaultRowHeight="14.4"/>
  <s:cols>
    <s:col min="1" max="1" width="7.332" bestFit="1" customWidth="1"/>
    <s:col min="2" max="2" width="45.441" customWidth="1"/>
    <s:col min="3" max="3" width="15.332" style="4" customWidth="1"/>
    <s:col min="4" max="4" width="7.887" style="4" customWidth="1"/>
    <s:col min="5" max="96" width="6.441" style="4" customWidth="1"/>
    <s:col min="97" max="97" width="10.109" style="4" bestFit="1" customWidth="1"/>
    <s:col min="98" max="99" width="11" style="4" customWidth="1"/>
    <s:col min="100" max="100" width="19.887" style="4" customWidth="1"/>
    <s:col min="101" max="101" width="19.664" style="4" bestFit="1" customWidth="1"/>
    <s:col min="102" max="102" width="18.555" style="4" customWidth="1"/>
    <s:col min="103" max="103" width="19.109" customWidth="1"/>
    <s:col min="104" max="104" width="12.664" customWidth="1"/>
    <s:col min="106" max="107" width="10.332" bestFit="1" customWidth="1"/>
  </s:cols>
  <s:sheetData>
    <s:row r="1" ht="29.25">
      <s:c r="A1" s="5" t="s">
        <s:v>0</s:v>
      </s:c>
      <s:c r="B1" s="66" t="s">
        <s:v>27</s:v>
      </s:c>
      <s:c r="C1" s="6"/>
      <s:c r="D1" s="123" t="s">
        <s:v>53</s:v>
      </s:c>
      <s:c r="E1" s="6"/>
      <s:c r="F1" s="57"/>
      <s:c r="G1" s="123" t="s">
        <s:v>54</s:v>
      </s:c>
      <s:c r="H1" s="57"/>
      <s:c r="I1" s="57"/>
      <s:c r="J1" s="123" t="s">
        <s:v>55</s:v>
      </s:c>
      <s:c r="K1" s="57"/>
      <s:c r="L1" s="57"/>
      <s:c r="M1" s="57"/>
      <s:c r="N1" s="57"/>
      <s:c r="O1" s="57"/>
      <s:c r="P1" s="57"/>
      <s:c r="Q1" s="57"/>
      <s:c r="R1" s="57"/>
      <s:c r="S1" s="57"/>
      <s:c r="T1" s="57"/>
      <s:c r="U1" s="57"/>
      <s:c r="V1" s="57"/>
      <s:c r="W1" s="57"/>
      <s:c r="X1" s="57"/>
      <s:c r="Y1" s="57"/>
      <s:c r="Z1" s="57"/>
      <s:c r="AA1" s="57"/>
      <s:c r="AB1" s="57"/>
      <s:c r="AC1" s="57"/>
      <s:c r="AD1" s="57"/>
      <s:c r="AE1" s="57"/>
      <s:c r="AF1" s="57"/>
      <s:c r="AG1" s="58"/>
      <s:c r="AH1" s="58"/>
      <s:c r="AI1" s="58"/>
      <s:c r="AJ1" s="57"/>
      <s:c r="AK1" s="57"/>
      <s:c r="AL1" s="57"/>
      <s:c r="AM1" s="57"/>
      <s:c r="AN1" s="57"/>
      <s:c r="AO1" s="57"/>
      <s:c r="AP1" s="57"/>
      <s:c r="AQ1" s="57"/>
      <s:c r="AR1" s="57"/>
      <s:c r="AS1" s="57" t="s">
        <s:v>1</s:v>
      </s:c>
      <s:c r="AT1" s="57"/>
      <s:c r="AU1" s="57"/>
      <s:c r="AV1" s="57"/>
      <s:c r="AW1" s="57"/>
      <s:c r="AX1" s="57"/>
      <s:c r="AY1" s="164">
        <s:v>45992</s:v>
      </s:c>
      <s:c r="AZ1" s="164"/>
      <s:c r="BA1" s="164"/>
      <s:c r="BB1" s="164"/>
      <s:c r="BC1" s="164"/>
      <s:c r="BD1" s="164"/>
      <s:c r="BE1" s="164"/>
      <s:c r="BF1" s="164"/>
      <s:c r="BG1" s="164"/>
      <s:c r="BH1" s="164"/>
      <s:c r="BI1" s="59"/>
      <s:c r="BJ1" s="59"/>
      <s:c r="BK1" s="57"/>
      <s:c r="BL1" s="57"/>
      <s:c r="BM1" s="57"/>
      <s:c r="BN1" s="57"/>
      <s:c r="BO1" s="57"/>
      <s:c r="BP1" s="57"/>
      <s:c r="BQ1" s="57"/>
      <s:c r="BR1" s="57"/>
      <s:c r="BS1" s="57"/>
      <s:c r="BT1" s="57"/>
      <s:c r="BU1" s="57"/>
      <s:c r="BV1" s="57"/>
      <s:c r="BW1" s="57"/>
      <s:c r="BX1" s="57"/>
      <s:c r="BY1" s="57"/>
      <s:c r="BZ1" s="57"/>
      <s:c r="CA1" s="57"/>
      <s:c r="CB1" s="57"/>
      <s:c r="CC1" s="57"/>
      <s:c r="CD1" s="57"/>
      <s:c r="CE1" s="57"/>
      <s:c r="CF1" s="57"/>
      <s:c r="CG1" s="57"/>
      <s:c r="CH1" s="57"/>
      <s:c r="CI1" s="57"/>
      <s:c r="CJ1" s="57"/>
      <s:c r="CK1" s="57"/>
      <s:c r="CL1" s="57"/>
      <s:c r="CM1" s="57"/>
      <s:c r="CN1" s="57"/>
      <s:c r="CO1" s="57"/>
      <s:c r="CP1" s="57"/>
      <s:c r="CQ1" s="57"/>
      <s:c r="CR1" s="57"/>
      <s:c r="CS1" s="57"/>
      <s:c r="CT1" s="57"/>
      <s:c r="CU1" s="57"/>
      <s:c r="CV1" s="60"/>
      <s:c r="CW1" s="61"/>
      <s:c r="CX1" s="61"/>
    </s:row>
    <s:row r="2" ht="84">
      <s:c r="A2" s="7" t="s">
        <s:v>2</s:v>
      </s:c>
      <s:c r="B2" s="8" t="s">
        <s:v>4</s:v>
      </s:c>
      <s:c r="C2" s="126" t="s">
        <s:v>9</s:v>
      </s:c>
      <s:c r="D2" s="165">
        <s:f>IF(AY1&lt;&gt;0,AY1,"")</s:f>
        <s:v>45992</s:v>
      </s:c>
      <s:c r="E2" s="166"/>
      <s:c r="F2" s="167"/>
      <s:c r="G2" s="168">
        <s:f>IF(D2="","",D2+1)</s:f>
        <s:v>45993</s:v>
      </s:c>
      <s:c r="H2" s="166"/>
      <s:c r="I2" s="169"/>
      <s:c r="J2" s="165">
        <s:f>IF(G2="","",G2+1)</s:f>
        <s:v>45994</s:v>
      </s:c>
      <s:c r="K2" s="166"/>
      <s:c r="L2" s="167"/>
      <s:c r="M2" s="168">
        <s:f>IF(J2="","",J2+1)</s:f>
        <s:v>45995</s:v>
      </s:c>
      <s:c r="N2" s="166"/>
      <s:c r="O2" s="169"/>
      <s:c r="P2" s="165">
        <s:f>IF(M2="","",M2+1)</s:f>
        <s:v>45996</s:v>
      </s:c>
      <s:c r="Q2" s="166"/>
      <s:c r="R2" s="167"/>
      <s:c r="S2" s="168">
        <s:f>IF(P2="","",P2+1)</s:f>
        <s:v>45997</s:v>
      </s:c>
      <s:c r="T2" s="166"/>
      <s:c r="U2" s="169"/>
      <s:c r="V2" s="165">
        <s:f>IF(S2="","",S2+1)</s:f>
        <s:v>45998</s:v>
      </s:c>
      <s:c r="W2" s="166"/>
      <s:c r="X2" s="167"/>
      <s:c r="Y2" s="168">
        <s:f>IF(V2="","",V2+1)</s:f>
        <s:v>45999</s:v>
      </s:c>
      <s:c r="Z2" s="166"/>
      <s:c r="AA2" s="169"/>
      <s:c r="AB2" s="165">
        <s:f>IF(Y2="","",Y2+1)</s:f>
        <s:v>46000</s:v>
      </s:c>
      <s:c r="AC2" s="166"/>
      <s:c r="AD2" s="167"/>
      <s:c r="AE2" s="168">
        <s:f>IF(AB2="","",AB2+1)</s:f>
        <s:v>46001</s:v>
      </s:c>
      <s:c r="AF2" s="166"/>
      <s:c r="AG2" s="169"/>
      <s:c r="AH2" s="165">
        <s:f>IF(AE2="","",AE2+1)</s:f>
        <s:v>46002</s:v>
      </s:c>
      <s:c r="AI2" s="166"/>
      <s:c r="AJ2" s="167"/>
      <s:c r="AK2" s="168">
        <s:f>IF(AH2="","",AH2+1)</s:f>
        <s:v>46003</s:v>
      </s:c>
      <s:c r="AL2" s="166"/>
      <s:c r="AM2" s="169"/>
      <s:c r="AN2" s="165">
        <s:f>IF(AK2="","",AK2+1)</s:f>
        <s:v>46004</s:v>
      </s:c>
      <s:c r="AO2" s="166"/>
      <s:c r="AP2" s="167"/>
      <s:c r="AQ2" s="168">
        <s:f>IF(AN2="","",AN2+1)</s:f>
        <s:v>46005</s:v>
      </s:c>
      <s:c r="AR2" s="166"/>
      <s:c r="AS2" s="169"/>
      <s:c r="AT2" s="165">
        <s:f>IF(AQ2="","",AQ2+1)</s:f>
        <s:v>46006</s:v>
      </s:c>
      <s:c r="AU2" s="166"/>
      <s:c r="AV2" s="167"/>
      <s:c r="AW2" s="168">
        <s:f>IF(AT2="","",AT2+1)</s:f>
        <s:v>46007</s:v>
      </s:c>
      <s:c r="AX2" s="166"/>
      <s:c r="AY2" s="169"/>
      <s:c r="AZ2" s="165">
        <s:f>IF(AW2="","",AW2+1)</s:f>
        <s:v>46008</s:v>
      </s:c>
      <s:c r="BA2" s="166"/>
      <s:c r="BB2" s="167"/>
      <s:c r="BC2" s="168">
        <s:f>IF(AZ2="","",AZ2+1)</s:f>
        <s:v>46009</s:v>
      </s:c>
      <s:c r="BD2" s="166"/>
      <s:c r="BE2" s="169"/>
      <s:c r="BF2" s="165">
        <s:f>IF(BC2="","",BC2+1)</s:f>
        <s:v>46010</s:v>
      </s:c>
      <s:c r="BG2" s="166"/>
      <s:c r="BH2" s="167"/>
      <s:c r="BI2" s="168">
        <s:f>IF(BF2="","",BF2+1)</s:f>
        <s:v>46011</s:v>
      </s:c>
      <s:c r="BJ2" s="166"/>
      <s:c r="BK2" s="169"/>
      <s:c r="BL2" s="165">
        <s:f>IF(BI2="","",BI2+1)</s:f>
        <s:v>46012</s:v>
      </s:c>
      <s:c r="BM2" s="166"/>
      <s:c r="BN2" s="167"/>
      <s:c r="BO2" s="168">
        <s:f>IF(BL2="","",BL2+1)</s:f>
        <s:v>46013</s:v>
      </s:c>
      <s:c r="BP2" s="166"/>
      <s:c r="BQ2" s="169"/>
      <s:c r="BR2" s="165">
        <s:f>IF(BO2="","",BO2+1)</s:f>
        <s:v>46014</s:v>
      </s:c>
      <s:c r="BS2" s="166"/>
      <s:c r="BT2" s="167"/>
      <s:c r="BU2" s="168">
        <s:f>IF(BR2="","",BR2+1)</s:f>
        <s:v>46015</s:v>
      </s:c>
      <s:c r="BV2" s="166"/>
      <s:c r="BW2" s="169"/>
      <s:c r="BX2" s="165">
        <s:f>IF(BU2="","",BU2+1)</s:f>
        <s:v>46016</s:v>
      </s:c>
      <s:c r="BY2" s="166"/>
      <s:c r="BZ2" s="167"/>
      <s:c r="CA2" s="168">
        <s:f>IF(BX2="","",BX2+1)</s:f>
        <s:v>46017</s:v>
      </s:c>
      <s:c r="CB2" s="166"/>
      <s:c r="CC2" s="169"/>
      <s:c r="CD2" s="165">
        <s:f>IF(CA2="","",CA2+1)</s:f>
        <s:v>46018</s:v>
      </s:c>
      <s:c r="CE2" s="166"/>
      <s:c r="CF2" s="167"/>
      <s:c r="CG2" s="168">
        <s:f>IF(CD2="","",IF(CD2+1&gt;EOMONTH($AY$1,0),"",CD2+1))</s:f>
        <s:v>46019</s:v>
      </s:c>
      <s:c r="CH2" s="166"/>
      <s:c r="CI2" s="169"/>
      <s:c r="CJ2" s="165">
        <s:f>IF(CG2="","",IF(CG2+1&gt;EOMONTH($AY$1,0),"",CG2+1))</s:f>
        <s:v>46020</s:v>
      </s:c>
      <s:c r="CK2" s="166"/>
      <s:c r="CL2" s="167"/>
      <s:c r="CM2" s="168">
        <s:f>IF(CJ2="","",IF(CJ2+1&gt;EOMONTH($AY$1,0),"",CJ2+1))</s:f>
        <s:v>46021</s:v>
      </s:c>
      <s:c r="CN2" s="166"/>
      <s:c r="CO2" s="169"/>
      <s:c r="CP2" s="165">
        <s:f>IF(CM2="","",IF(CM2+1&gt;EOMONTH($AY$1,0),"",CM2+1))</s:f>
        <s:v>46022</s:v>
      </s:c>
      <s:c r="CQ2" s="166"/>
      <s:c r="CR2" s="167"/>
      <s:c r="CS2" s="9" t="s">
        <s:v>23</s:v>
      </s:c>
      <s:c r="CT2" s="10" t="s">
        <s:v>24</s:v>
      </s:c>
      <s:c r="CU2" s="10" t="s">
        <s:v>25</s:v>
      </s:c>
      <s:c r="CV2" s="11" t="s">
        <s:v>3</s:v>
      </s:c>
      <s:c r="CW2" s="12" t="s">
        <s:v>85</s:v>
      </s:c>
      <s:c r="CX2" s="13" t="s">
        <s:v>86</s:v>
      </s:c>
      <s:c r="CY2" s="13" t="s">
        <s:v>29</s:v>
      </s:c>
    </s:row>
    <s:row r="3" ht="21">
      <s:c r="A3" s="14"/>
      <s:c r="B3" s="15" t="s">
        <s:v>8</s:v>
      </s:c>
      <s:c r="C3" s="127" t="s">
        <s:v>60</s:v>
      </s:c>
      <s:c r="D3" s="16" t="s">
        <s:v>10</s:v>
      </s:c>
      <s:c r="E3" s="15" t="s">
        <s:v>11</s:v>
      </s:c>
      <s:c r="F3" s="17" t="s">
        <s:v>12</s:v>
      </s:c>
      <s:c r="G3" s="14" t="s">
        <s:v>10</s:v>
      </s:c>
      <s:c r="H3" s="15" t="s">
        <s:v>11</s:v>
      </s:c>
      <s:c r="I3" s="78" t="s">
        <s:v>12</s:v>
      </s:c>
      <s:c r="J3" s="16" t="s">
        <s:v>10</s:v>
      </s:c>
      <s:c r="K3" s="15" t="s">
        <s:v>11</s:v>
      </s:c>
      <s:c r="L3" s="17" t="s">
        <s:v>12</s:v>
      </s:c>
      <s:c r="M3" s="14" t="s">
        <s:v>10</s:v>
      </s:c>
      <s:c r="N3" s="15" t="s">
        <s:v>11</s:v>
      </s:c>
      <s:c r="O3" s="78" t="s">
        <s:v>12</s:v>
      </s:c>
      <s:c r="P3" s="16" t="s">
        <s:v>10</s:v>
      </s:c>
      <s:c r="Q3" s="15" t="s">
        <s:v>11</s:v>
      </s:c>
      <s:c r="R3" s="17" t="s">
        <s:v>12</s:v>
      </s:c>
      <s:c r="S3" s="14" t="s">
        <s:v>10</s:v>
      </s:c>
      <s:c r="T3" s="15" t="s">
        <s:v>11</s:v>
      </s:c>
      <s:c r="U3" s="78" t="s">
        <s:v>12</s:v>
      </s:c>
      <s:c r="V3" s="16" t="s">
        <s:v>10</s:v>
      </s:c>
      <s:c r="W3" s="15" t="s">
        <s:v>11</s:v>
      </s:c>
      <s:c r="X3" s="17" t="s">
        <s:v>12</s:v>
      </s:c>
      <s:c r="Y3" s="14" t="s">
        <s:v>10</s:v>
      </s:c>
      <s:c r="Z3" s="15" t="s">
        <s:v>11</s:v>
      </s:c>
      <s:c r="AA3" s="78" t="s">
        <s:v>12</s:v>
      </s:c>
      <s:c r="AB3" s="16" t="s">
        <s:v>10</s:v>
      </s:c>
      <s:c r="AC3" s="15" t="s">
        <s:v>11</s:v>
      </s:c>
      <s:c r="AD3" s="17" t="s">
        <s:v>12</s:v>
      </s:c>
      <s:c r="AE3" s="14" t="s">
        <s:v>10</s:v>
      </s:c>
      <s:c r="AF3" s="15" t="s">
        <s:v>11</s:v>
      </s:c>
      <s:c r="AG3" s="78" t="s">
        <s:v>12</s:v>
      </s:c>
      <s:c r="AH3" s="16" t="s">
        <s:v>10</s:v>
      </s:c>
      <s:c r="AI3" s="15" t="s">
        <s:v>11</s:v>
      </s:c>
      <s:c r="AJ3" s="17" t="s">
        <s:v>12</s:v>
      </s:c>
      <s:c r="AK3" s="14" t="s">
        <s:v>10</s:v>
      </s:c>
      <s:c r="AL3" s="15" t="s">
        <s:v>11</s:v>
      </s:c>
      <s:c r="AM3" s="78" t="s">
        <s:v>12</s:v>
      </s:c>
      <s:c r="AN3" s="16" t="s">
        <s:v>10</s:v>
      </s:c>
      <s:c r="AO3" s="15" t="s">
        <s:v>11</s:v>
      </s:c>
      <s:c r="AP3" s="17" t="s">
        <s:v>12</s:v>
      </s:c>
      <s:c r="AQ3" s="14" t="s">
        <s:v>10</s:v>
      </s:c>
      <s:c r="AR3" s="15" t="s">
        <s:v>11</s:v>
      </s:c>
      <s:c r="AS3" s="78" t="s">
        <s:v>12</s:v>
      </s:c>
      <s:c r="AT3" s="16" t="s">
        <s:v>10</s:v>
      </s:c>
      <s:c r="AU3" s="15" t="s">
        <s:v>11</s:v>
      </s:c>
      <s:c r="AV3" s="17" t="s">
        <s:v>12</s:v>
      </s:c>
      <s:c r="AW3" s="14" t="s">
        <s:v>10</s:v>
      </s:c>
      <s:c r="AX3" s="15" t="s">
        <s:v>11</s:v>
      </s:c>
      <s:c r="AY3" s="78" t="s">
        <s:v>12</s:v>
      </s:c>
      <s:c r="AZ3" s="16" t="s">
        <s:v>10</s:v>
      </s:c>
      <s:c r="BA3" s="15" t="s">
        <s:v>11</s:v>
      </s:c>
      <s:c r="BB3" s="17" t="s">
        <s:v>12</s:v>
      </s:c>
      <s:c r="BC3" s="14" t="s">
        <s:v>10</s:v>
      </s:c>
      <s:c r="BD3" s="15" t="s">
        <s:v>11</s:v>
      </s:c>
      <s:c r="BE3" s="78" t="s">
        <s:v>12</s:v>
      </s:c>
      <s:c r="BF3" s="16" t="s">
        <s:v>10</s:v>
      </s:c>
      <s:c r="BG3" s="15" t="s">
        <s:v>11</s:v>
      </s:c>
      <s:c r="BH3" s="17" t="s">
        <s:v>12</s:v>
      </s:c>
      <s:c r="BI3" s="14" t="s">
        <s:v>10</s:v>
      </s:c>
      <s:c r="BJ3" s="15" t="s">
        <s:v>11</s:v>
      </s:c>
      <s:c r="BK3" s="78" t="s">
        <s:v>12</s:v>
      </s:c>
      <s:c r="BL3" s="16" t="s">
        <s:v>10</s:v>
      </s:c>
      <s:c r="BM3" s="15" t="s">
        <s:v>11</s:v>
      </s:c>
      <s:c r="BN3" s="17" t="s">
        <s:v>12</s:v>
      </s:c>
      <s:c r="BO3" s="14" t="s">
        <s:v>10</s:v>
      </s:c>
      <s:c r="BP3" s="15" t="s">
        <s:v>11</s:v>
      </s:c>
      <s:c r="BQ3" s="78" t="s">
        <s:v>12</s:v>
      </s:c>
      <s:c r="BR3" s="16" t="s">
        <s:v>10</s:v>
      </s:c>
      <s:c r="BS3" s="15" t="s">
        <s:v>11</s:v>
      </s:c>
      <s:c r="BT3" s="17" t="s">
        <s:v>12</s:v>
      </s:c>
      <s:c r="BU3" s="14" t="s">
        <s:v>10</s:v>
      </s:c>
      <s:c r="BV3" s="15" t="s">
        <s:v>11</s:v>
      </s:c>
      <s:c r="BW3" s="78" t="s">
        <s:v>12</s:v>
      </s:c>
      <s:c r="BX3" s="16" t="s">
        <s:v>10</s:v>
      </s:c>
      <s:c r="BY3" s="15" t="s">
        <s:v>11</s:v>
      </s:c>
      <s:c r="BZ3" s="17" t="s">
        <s:v>12</s:v>
      </s:c>
      <s:c r="CA3" s="14" t="s">
        <s:v>10</s:v>
      </s:c>
      <s:c r="CB3" s="15" t="s">
        <s:v>11</s:v>
      </s:c>
      <s:c r="CC3" s="78" t="s">
        <s:v>12</s:v>
      </s:c>
      <s:c r="CD3" s="16" t="s">
        <s:v>10</s:v>
      </s:c>
      <s:c r="CE3" s="15" t="s">
        <s:v>11</s:v>
      </s:c>
      <s:c r="CF3" s="17" t="s">
        <s:v>12</s:v>
      </s:c>
      <s:c r="CG3" s="14" t="s">
        <s:v>10</s:v>
      </s:c>
      <s:c r="CH3" s="15" t="s">
        <s:v>11</s:v>
      </s:c>
      <s:c r="CI3" s="78" t="s">
        <s:v>12</s:v>
      </s:c>
      <s:c r="CJ3" s="16" t="s">
        <s:v>10</s:v>
      </s:c>
      <s:c r="CK3" s="15" t="s">
        <s:v>11</s:v>
      </s:c>
      <s:c r="CL3" s="17" t="s">
        <s:v>12</s:v>
      </s:c>
      <s:c r="CM3" s="14" t="s">
        <s:v>10</s:v>
      </s:c>
      <s:c r="CN3" s="15" t="s">
        <s:v>11</s:v>
      </s:c>
      <s:c r="CO3" s="78" t="s">
        <s:v>12</s:v>
      </s:c>
      <s:c r="CP3" s="16" t="s">
        <s:v>10</s:v>
      </s:c>
      <s:c r="CQ3" s="15" t="s">
        <s:v>11</s:v>
      </s:c>
      <s:c r="CR3" s="17" t="s">
        <s:v>12</s:v>
      </s:c>
      <s:c r="CS3" s="18" t="s">
        <s:v>10</s:v>
      </s:c>
      <s:c r="CT3" s="19" t="s">
        <s:v>11</s:v>
      </s:c>
      <s:c r="CU3" s="19" t="s">
        <s:v>12</s:v>
      </s:c>
      <s:c r="CV3" s="20"/>
      <s:c r="CW3" s="21"/>
      <s:c r="CX3" s="22"/>
      <s:c r="CY3" s="22"/>
    </s:row>
    <s:row r="4" ht="21">
      <s:c r="A4" s="23">
        <s:f>IF(B4="","",COUNTA($B$4:B4))</s:f>
        <s:v>1</s:v>
      </s:c>
      <s:c r="B4" s="24" t="s">
        <s:v>69</s:v>
      </s:c>
      <s:c r="C4" s="25" t="s">
        <s:v>17</s:v>
      </s:c>
      <s:c r="D4" s="49">
        <s:v>1</s:v>
      </s:c>
      <s:c r="E4" s="50"/>
      <s:c r="F4" s="74"/>
      <s:c r="G4" s="79">
        <s:v>2</s:v>
      </s:c>
      <s:c r="H4" s="26"/>
      <s:c r="I4" s="80"/>
      <s:c r="J4" s="76">
        <s:v>2</s:v>
      </s:c>
      <s:c r="K4" s="26"/>
      <s:c r="L4" s="27"/>
      <s:c r="M4" s="79">
        <s:v>2</s:v>
      </s:c>
      <s:c r="N4" s="26"/>
      <s:c r="O4" s="80"/>
      <s:c r="P4" s="76">
        <s:v>2</s:v>
      </s:c>
      <s:c r="Q4" s="26"/>
      <s:c r="R4" s="27"/>
      <s:c r="S4" s="79"/>
      <s:c r="T4" s="26"/>
      <s:c r="U4" s="80"/>
      <s:c r="V4" s="76"/>
      <s:c r="W4" s="26"/>
      <s:c r="X4" s="27"/>
      <s:c r="Y4" s="79"/>
      <s:c r="Z4" s="26"/>
      <s:c r="AA4" s="80"/>
      <s:c r="AB4" s="76"/>
      <s:c r="AC4" s="26"/>
      <s:c r="AD4" s="27"/>
      <s:c r="AE4" s="79"/>
      <s:c r="AF4" s="26"/>
      <s:c r="AG4" s="80"/>
      <s:c r="AH4" s="76"/>
      <s:c r="AI4" s="26"/>
      <s:c r="AJ4" s="27"/>
      <s:c r="AK4" s="79"/>
      <s:c r="AL4" s="26"/>
      <s:c r="AM4" s="80"/>
      <s:c r="AN4" s="76"/>
      <s:c r="AO4" s="26"/>
      <s:c r="AP4" s="27"/>
      <s:c r="AQ4" s="79"/>
      <s:c r="AR4" s="26"/>
      <s:c r="AS4" s="80"/>
      <s:c r="AT4" s="76"/>
      <s:c r="AU4" s="26"/>
      <s:c r="AV4" s="27"/>
      <s:c r="AW4" s="79"/>
      <s:c r="AX4" s="26"/>
      <s:c r="AY4" s="80"/>
      <s:c r="AZ4" s="76"/>
      <s:c r="BA4" s="26"/>
      <s:c r="BB4" s="27"/>
      <s:c r="BC4" s="79"/>
      <s:c r="BD4" s="26"/>
      <s:c r="BE4" s="80"/>
      <s:c r="BF4" s="76"/>
      <s:c r="BG4" s="26"/>
      <s:c r="BH4" s="27"/>
      <s:c r="BI4" s="79"/>
      <s:c r="BJ4" s="26"/>
      <s:c r="BK4" s="80"/>
      <s:c r="BL4" s="76"/>
      <s:c r="BM4" s="26"/>
      <s:c r="BN4" s="27"/>
      <s:c r="BO4" s="79"/>
      <s:c r="BP4" s="26"/>
      <s:c r="BQ4" s="80"/>
      <s:c r="BR4" s="76"/>
      <s:c r="BS4" s="26"/>
      <s:c r="BT4" s="27"/>
      <s:c r="BU4" s="79"/>
      <s:c r="BV4" s="26"/>
      <s:c r="BW4" s="80"/>
      <s:c r="BX4" s="76"/>
      <s:c r="BY4" s="26"/>
      <s:c r="BZ4" s="27"/>
      <s:c r="CA4" s="79"/>
      <s:c r="CB4" s="26"/>
      <s:c r="CC4" s="80"/>
      <s:c r="CD4" s="76"/>
      <s:c r="CE4" s="26"/>
      <s:c r="CF4" s="27"/>
      <s:c r="CG4" s="79"/>
      <s:c r="CH4" s="26"/>
      <s:c r="CI4" s="80"/>
      <s:c r="CJ4" s="76"/>
      <s:c r="CK4" s="26"/>
      <s:c r="CL4" s="27"/>
      <s:c r="CM4" s="79"/>
      <s:c r="CN4" s="26"/>
      <s:c r="CO4" s="80"/>
      <s:c r="CP4" s="76"/>
      <s:c r="CQ4" s="26"/>
      <s:c r="CR4" s="27"/>
      <s:c r="CS4" s="62">
        <s:f>SUMIFS(D4:CR4,$D$3:$CR$3,"З")</s:f>
        <s:v>9</s:v>
      </s:c>
      <s:c r="CT4" s="63">
        <s:f>SUMIFS(D4:CR4,$D$3:$CR$3,"О")</s:f>
        <s:v>0</s:v>
      </s:c>
      <s:c r="CU4" s="63">
        <s:f>SUMIFS(D4:CR4,$D$3:$CR$3,"У")</s:f>
        <s:v>0</s:v>
      </s:c>
      <s:c r="CV4" s="28">
        <s:f>IF(C4="Да",CS4*$D$45+CT4*$D$46+CU4*$D$47,CS4*$C$45+CT4*$C$46+CU4*$C$47)</s:f>
        <s:v>8640</s:v>
      </s:c>
      <s:c r="CW4" s="29" t="str">
        <s:f>IF(C4="Нет",CV4,"")</s:f>
        <s:v/>
      </s:c>
      <s:c r="CX4" s="30">
        <s:f>IF(C4="Да",CV4,"")</s:f>
        <s:v>8640</s:v>
      </s:c>
      <s:c r="CY4" s="30" t="str">
        <s:f>IF(C4="Налич",CV4,"")</s:f>
        <s:v/>
      </s:c>
    </s:row>
    <s:row r="5" ht="21.75">
      <s:c r="A5" s="23">
        <s:f>IF(B5="","",COUNTA($B$4:B5))</s:f>
        <s:v>2</s:v>
      </s:c>
      <s:c r="B5" s="31" t="s">
        <s:v>70</s:v>
      </s:c>
      <s:c r="C5" s="32" t="s">
        <s:v>17</s:v>
      </s:c>
      <s:c r="D5" s="51">
        <s:v>20</s:v>
      </s:c>
      <s:c r="E5" s="52">
        <s:v>20</s:v>
      </s:c>
      <s:c r="F5" s="191">
        <s:v>20</s:v>
      </s:c>
      <s:c r="G5" s="180">
        <s:v>20</s:v>
      </s:c>
      <s:c r="H5" s="26"/>
      <s:c r="I5" s="80"/>
      <s:c r="J5" s="76"/>
      <s:c r="K5" s="26"/>
      <s:c r="L5" s="27"/>
      <s:c r="M5" s="79"/>
      <s:c r="N5" s="26"/>
      <s:c r="O5" s="80"/>
      <s:c r="P5" s="76"/>
      <s:c r="Q5" s="26"/>
      <s:c r="R5" s="27"/>
      <s:c r="S5" s="79"/>
      <s:c r="T5" s="26"/>
      <s:c r="U5" s="80"/>
      <s:c r="V5" s="76"/>
      <s:c r="W5" s="26"/>
      <s:c r="X5" s="27"/>
      <s:c r="Y5" s="79"/>
      <s:c r="Z5" s="26"/>
      <s:c r="AA5" s="80"/>
      <s:c r="AB5" s="76"/>
      <s:c r="AC5" s="26"/>
      <s:c r="AD5" s="27"/>
      <s:c r="AE5" s="79"/>
      <s:c r="AF5" s="26"/>
      <s:c r="AG5" s="80"/>
      <s:c r="AH5" s="76"/>
      <s:c r="AI5" s="26"/>
      <s:c r="AJ5" s="27"/>
      <s:c r="AK5" s="79"/>
      <s:c r="AL5" s="26"/>
      <s:c r="AM5" s="80"/>
      <s:c r="AN5" s="76"/>
      <s:c r="AO5" s="26"/>
      <s:c r="AP5" s="27"/>
      <s:c r="AQ5" s="79"/>
      <s:c r="AR5" s="26"/>
      <s:c r="AS5" s="80"/>
      <s:c r="AT5" s="76"/>
      <s:c r="AU5" s="26"/>
      <s:c r="AV5" s="27"/>
      <s:c r="AW5" s="79"/>
      <s:c r="AX5" s="26"/>
      <s:c r="AY5" s="80"/>
      <s:c r="AZ5" s="76"/>
      <s:c r="BA5" s="26"/>
      <s:c r="BB5" s="27"/>
      <s:c r="BC5" s="79"/>
      <s:c r="BD5" s="26"/>
      <s:c r="BE5" s="80"/>
      <s:c r="BF5" s="76"/>
      <s:c r="BG5" s="26"/>
      <s:c r="BH5" s="27"/>
      <s:c r="BI5" s="79"/>
      <s:c r="BJ5" s="26"/>
      <s:c r="BK5" s="80"/>
      <s:c r="BL5" s="76"/>
      <s:c r="BM5" s="26"/>
      <s:c r="BN5" s="27"/>
      <s:c r="BO5" s="79"/>
      <s:c r="BP5" s="26"/>
      <s:c r="BQ5" s="80"/>
      <s:c r="BR5" s="76"/>
      <s:c r="BS5" s="26"/>
      <s:c r="BT5" s="27"/>
      <s:c r="BU5" s="79"/>
      <s:c r="BV5" s="26"/>
      <s:c r="BW5" s="80"/>
      <s:c r="BX5" s="76"/>
      <s:c r="BY5" s="26"/>
      <s:c r="BZ5" s="27"/>
      <s:c r="CA5" s="79"/>
      <s:c r="CB5" s="26"/>
      <s:c r="CC5" s="80"/>
      <s:c r="CD5" s="76"/>
      <s:c r="CE5" s="26"/>
      <s:c r="CF5" s="27"/>
      <s:c r="CG5" s="79"/>
      <s:c r="CH5" s="26"/>
      <s:c r="CI5" s="80"/>
      <s:c r="CJ5" s="76"/>
      <s:c r="CK5" s="26"/>
      <s:c r="CL5" s="27"/>
      <s:c r="CM5" s="79"/>
      <s:c r="CN5" s="26"/>
      <s:c r="CO5" s="80"/>
      <s:c r="CP5" s="76"/>
      <s:c r="CQ5" s="26"/>
      <s:c r="CR5" s="27"/>
      <s:c r="CS5" s="62">
        <s:f>SUMIFS(D5:CR5,$D$3:$CR$3,"З")</s:f>
        <s:v>40</s:v>
      </s:c>
      <s:c r="CT5" s="63">
        <s:f>SUMIFS(D5:CR5,$D$3:$CR$3,"О")</s:f>
        <s:v>20</s:v>
      </s:c>
      <s:c r="CU5" s="63">
        <s:f>SUMIFS(D5:CR5,$D$3:$CR$3,"У")</s:f>
        <s:v>20</s:v>
      </s:c>
      <s:c r="CV5" s="28">
        <s:f>IF(C5="Да",CS5*$D$45+CT5*$D$46+CU5*$D$47,CS5*$C$45+CT5*$C$46+CU5*$C$47)</s:f>
        <s:v>82800</s:v>
      </s:c>
      <s:c r="CW5" s="29" t="str">
        <s:f>IF(C5="Нет",CV5,"")</s:f>
        <s:v/>
      </s:c>
      <s:c r="CX5" s="30">
        <s:f>IF(C5="Да",CV5,"")</s:f>
        <s:v>82800</s:v>
      </s:c>
      <s:c r="CY5" s="30" t="str">
        <s:f>IF(C5="Налич",CV5,"")</s:f>
        <s:v/>
      </s:c>
    </s:row>
    <s:row r="6" ht="21">
      <s:c r="A6" s="23">
        <s:f>IF(B6="","",COUNTA($B$4:B6))</s:f>
        <s:v>3</s:v>
      </s:c>
      <s:c r="B6" s="24" t="s">
        <s:v>71</s:v>
      </s:c>
      <s:c r="C6" s="25" t="s">
        <s:v>28</s:v>
      </s:c>
      <s:c r="D6" s="49"/>
      <s:c r="E6" s="50"/>
      <s:c r="F6" s="74"/>
      <s:c r="G6" s="79"/>
      <s:c r="H6" s="26"/>
      <s:c r="I6" s="80"/>
      <s:c r="J6" s="76"/>
      <s:c r="K6" s="26">
        <s:v>4.45</s:v>
      </s:c>
      <s:c r="L6" s="27"/>
      <s:c r="M6" s="79"/>
      <s:c r="N6" s="26">
        <s:v>2.5</s:v>
      </s:c>
      <s:c r="O6" s="80"/>
      <s:c r="P6" s="76"/>
      <s:c r="Q6" s="26"/>
      <s:c r="R6" s="27"/>
      <s:c r="S6" s="79"/>
      <s:c r="T6" s="26"/>
      <s:c r="U6" s="80"/>
      <s:c r="V6" s="76"/>
      <s:c r="W6" s="26">
        <s:v>2.1</s:v>
      </s:c>
      <s:c r="X6" s="27"/>
      <s:c r="Y6" s="79"/>
      <s:c r="Z6" s="26"/>
      <s:c r="AA6" s="80"/>
      <s:c r="AB6" s="76"/>
      <s:c r="AC6" s="26"/>
      <s:c r="AD6" s="27"/>
      <s:c r="AE6" s="79"/>
      <s:c r="AF6" s="26"/>
      <s:c r="AG6" s="80"/>
      <s:c r="AH6" s="76"/>
      <s:c r="AI6" s="26"/>
      <s:c r="AJ6" s="27"/>
      <s:c r="AK6" s="79"/>
      <s:c r="AL6" s="26"/>
      <s:c r="AM6" s="80"/>
      <s:c r="AN6" s="76"/>
      <s:c r="AO6" s="26"/>
      <s:c r="AP6" s="27"/>
      <s:c r="AQ6" s="79"/>
      <s:c r="AR6" s="26"/>
      <s:c r="AS6" s="117"/>
      <s:c r="AT6" s="118"/>
      <s:c r="AU6" s="119"/>
      <s:c r="AV6" s="120"/>
      <s:c r="AW6" s="121"/>
      <s:c r="AX6" s="119"/>
      <s:c r="AY6" s="117"/>
      <s:c r="AZ6" s="118"/>
      <s:c r="BA6" s="26"/>
      <s:c r="BB6" s="27"/>
      <s:c r="BC6" s="79"/>
      <s:c r="BD6" s="26"/>
      <s:c r="BE6" s="80"/>
      <s:c r="BF6" s="76"/>
      <s:c r="BG6" s="26"/>
      <s:c r="BH6" s="27"/>
      <s:c r="BI6" s="79"/>
      <s:c r="BJ6" s="26"/>
      <s:c r="BK6" s="80"/>
      <s:c r="BL6" s="76"/>
      <s:c r="BM6" s="26"/>
      <s:c r="BN6" s="27"/>
      <s:c r="BO6" s="79"/>
      <s:c r="BP6" s="26"/>
      <s:c r="BQ6" s="80"/>
      <s:c r="BR6" s="118"/>
      <s:c r="BS6" s="119"/>
      <s:c r="BT6" s="120"/>
      <s:c r="BU6" s="121"/>
      <s:c r="BV6" s="119"/>
      <s:c r="BW6" s="80"/>
      <s:c r="BX6" s="76"/>
      <s:c r="BY6" s="26"/>
      <s:c r="BZ6" s="27"/>
      <s:c r="CA6" s="79"/>
      <s:c r="CB6" s="26"/>
      <s:c r="CC6" s="80"/>
      <s:c r="CD6" s="76"/>
      <s:c r="CE6" s="26"/>
      <s:c r="CF6" s="27"/>
      <s:c r="CG6" s="79"/>
      <s:c r="CH6" s="26"/>
      <s:c r="CI6" s="80"/>
      <s:c r="CJ6" s="76"/>
      <s:c r="CK6" s="26"/>
      <s:c r="CL6" s="27"/>
      <s:c r="CM6" s="79"/>
      <s:c r="CN6" s="26"/>
      <s:c r="CO6" s="80"/>
      <s:c r="CP6" s="76"/>
      <s:c r="CQ6" s="26"/>
      <s:c r="CR6" s="27"/>
      <s:c r="CS6" s="62">
        <s:f>SUMIFS(D6:CR6,$D$3:$CR$3,"З")</s:f>
        <s:v>0</s:v>
      </s:c>
      <s:c r="CT6" s="63">
        <s:f>SUMIFS(D6:CR6,$D$3:$CR$3,"О")</s:f>
        <s:v>9.05</s:v>
      </s:c>
      <s:c r="CU6" s="63">
        <s:f>SUMIFS(D6:CR6,$D$3:$CR$3,"У")</s:f>
        <s:v>0</s:v>
      </s:c>
      <s:c r="CV6" s="28">
        <s:f>IF(C6="Да",CS6*$D$45+CT6*$D$46+CU6*$D$47,CS6*$C$45+CT6*$C$46+CU6*$C$47)</s:f>
        <s:v>9050</s:v>
      </s:c>
      <s:c r="CW6" s="29" t="str">
        <s:f>IF(C6="Нет",CV6,"")</s:f>
        <s:v/>
      </s:c>
      <s:c r="CX6" s="30" t="str">
        <s:f>IF(C6="Да",CV6,"")</s:f>
        <s:v/>
      </s:c>
      <s:c r="CY6" s="30">
        <s:f>IF(C6="Налич",CV6,"")</s:f>
        <s:v>9050</s:v>
      </s:c>
      <s:c r="CZ6" s="122"/>
    </s:row>
    <s:row r="7" ht="21">
      <s:c r="A7" s="23">
        <s:v>5</s:v>
      </s:c>
      <s:c r="B7" s="24" t="s">
        <s:v>72</s:v>
      </s:c>
      <s:c r="C7" s="25" t="s">
        <s:v>18</s:v>
      </s:c>
      <s:c r="D7" s="49"/>
      <s:c r="E7" s="50"/>
      <s:c r="F7" s="74"/>
      <s:c r="G7" s="79"/>
      <s:c r="H7" s="26"/>
      <s:c r="I7" s="80"/>
      <s:c r="J7" s="76"/>
      <s:c r="K7" s="26"/>
      <s:c r="L7" s="27"/>
      <s:c r="M7" s="79"/>
      <s:c r="N7" s="26"/>
      <s:c r="O7" s="80"/>
      <s:c r="P7" s="76"/>
      <s:c r="Q7" s="26"/>
      <s:c r="R7" s="27"/>
      <s:c r="S7" s="79"/>
      <s:c r="T7" s="26"/>
      <s:c r="U7" s="80"/>
      <s:c r="V7" s="76"/>
      <s:c r="W7" s="26"/>
      <s:c r="X7" s="27"/>
      <s:c r="Y7" s="79"/>
      <s:c r="Z7" s="26"/>
      <s:c r="AA7" s="80"/>
      <s:c r="AB7" s="76"/>
      <s:c r="AC7" s="26"/>
      <s:c r="AD7" s="27"/>
      <s:c r="AE7" s="79"/>
      <s:c r="AF7" s="26"/>
      <s:c r="AG7" s="80">
        <s:v>14</s:v>
      </s:c>
      <s:c r="AH7" s="76">
        <s:v>14</s:v>
      </s:c>
      <s:c r="AI7" s="26"/>
      <s:c r="AJ7" s="27">
        <s:v>14</s:v>
      </s:c>
      <s:c r="AK7" s="79">
        <s:v>14</s:v>
      </s:c>
      <s:c r="AL7" s="26"/>
      <s:c r="AM7" s="80">
        <s:v>14</s:v>
      </s:c>
      <s:c r="AN7" s="76">
        <s:v>14</s:v>
      </s:c>
      <s:c r="AO7" s="26"/>
      <s:c r="AP7" s="27">
        <s:v>14</s:v>
      </s:c>
      <s:c r="AQ7" s="79">
        <s:v>14</s:v>
      </s:c>
      <s:c r="AR7" s="26"/>
      <s:c r="AS7" s="80"/>
      <s:c r="AT7" s="76"/>
      <s:c r="AU7" s="26"/>
      <s:c r="AV7" s="27"/>
      <s:c r="AW7" s="79"/>
      <s:c r="AX7" s="26"/>
      <s:c r="AY7" s="80"/>
      <s:c r="AZ7" s="76"/>
      <s:c r="BA7" s="26"/>
      <s:c r="BB7" s="27"/>
      <s:c r="BC7" s="79"/>
      <s:c r="BD7" s="26"/>
      <s:c r="BE7" s="80"/>
      <s:c r="BF7" s="76"/>
      <s:c r="BG7" s="26"/>
      <s:c r="BH7" s="27"/>
      <s:c r="BI7" s="79"/>
      <s:c r="BJ7" s="26"/>
      <s:c r="BK7" s="80"/>
      <s:c r="BL7" s="76"/>
      <s:c r="BM7" s="26"/>
      <s:c r="BN7" s="27"/>
      <s:c r="BO7" s="79"/>
      <s:c r="BP7" s="26"/>
      <s:c r="BQ7" s="80"/>
      <s:c r="BR7" s="76"/>
      <s:c r="BS7" s="26"/>
      <s:c r="BT7" s="27"/>
      <s:c r="BU7" s="79"/>
      <s:c r="BV7" s="26"/>
      <s:c r="BW7" s="80"/>
      <s:c r="BX7" s="76"/>
      <s:c r="BY7" s="26"/>
      <s:c r="BZ7" s="27"/>
      <s:c r="CA7" s="79"/>
      <s:c r="CB7" s="26"/>
      <s:c r="CC7" s="80"/>
      <s:c r="CD7" s="76"/>
      <s:c r="CE7" s="26"/>
      <s:c r="CF7" s="27"/>
      <s:c r="CG7" s="79"/>
      <s:c r="CH7" s="26"/>
      <s:c r="CI7" s="80"/>
      <s:c r="CJ7" s="76"/>
      <s:c r="CK7" s="26"/>
      <s:c r="CL7" s="27"/>
      <s:c r="CM7" s="79"/>
      <s:c r="CN7" s="26"/>
      <s:c r="CO7" s="80"/>
      <s:c r="CP7" s="76"/>
      <s:c r="CQ7" s="26"/>
      <s:c r="CR7" s="27"/>
      <s:c r="CS7" s="62">
        <s:f>SUMIFS(D7:CR7,$D$3:$CR$3,"З")</s:f>
        <s:v>56</s:v>
      </s:c>
      <s:c r="CT7" s="63">
        <s:f>SUMIFS(D7:CR7,$D$3:$CR$3,"О")</s:f>
        <s:v>0</s:v>
      </s:c>
      <s:c r="CU7" s="63">
        <s:f>SUMIFS(D7:CR7,$D$3:$CR$3,"У")</s:f>
        <s:v>56</s:v>
      </s:c>
      <s:c r="CV7" s="28">
        <s:f>IF(C7="Да",CS7*$D$45+CT7*$D$46+CU7*$D$47,CS7*$C$45+CT7*$C$46+CU7*$C$47)</s:f>
        <s:v>92400</s:v>
      </s:c>
      <s:c r="CW7" s="29">
        <s:f>IF(C7="Нет",CV7,"")</s:f>
        <s:v>92400</s:v>
      </s:c>
      <s:c r="CX7" s="30" t="str">
        <s:f>IF(C7="Да",CV7,"")</s:f>
        <s:v/>
      </s:c>
      <s:c r="CY7" s="30" t="str">
        <s:f>IF(C7="Налич",CV7,"")</s:f>
        <s:v/>
      </s:c>
      <s:c r="CZ7" s="122"/>
    </s:row>
    <s:row r="8" ht="21">
      <s:c r="A8" s="23">
        <s:v>6</s:v>
      </s:c>
      <s:c r="B8" s="24" t="s">
        <s:v>73</s:v>
      </s:c>
      <s:c r="C8" s="25" t="s">
        <s:v>18</s:v>
      </s:c>
      <s:c r="D8" s="49"/>
      <s:c r="E8" s="50"/>
      <s:c r="F8" s="74"/>
      <s:c r="G8" s="79"/>
      <s:c r="H8" s="26"/>
      <s:c r="I8" s="80"/>
      <s:c r="J8" s="76"/>
      <s:c r="K8" s="26"/>
      <s:c r="L8" s="27"/>
      <s:c r="M8" s="79"/>
      <s:c r="N8" s="26"/>
      <s:c r="O8" s="80"/>
      <s:c r="P8" s="76"/>
      <s:c r="Q8" s="26"/>
      <s:c r="R8" s="27"/>
      <s:c r="S8" s="79"/>
      <s:c r="T8" s="26"/>
      <s:c r="U8" s="80"/>
      <s:c r="V8" s="76"/>
      <s:c r="W8" s="26"/>
      <s:c r="X8" s="27"/>
      <s:c r="Y8" s="79"/>
      <s:c r="Z8" s="26"/>
      <s:c r="AA8" s="80"/>
      <s:c r="AB8" s="76"/>
      <s:c r="AC8" s="26"/>
      <s:c r="AD8" s="27"/>
      <s:c r="AE8" s="79"/>
      <s:c r="AF8" s="26"/>
      <s:c r="AG8" s="80">
        <s:v>21</s:v>
      </s:c>
      <s:c r="AH8" s="76">
        <s:v>21</s:v>
      </s:c>
      <s:c r="AI8" s="26">
        <s:v>21</s:v>
      </s:c>
      <s:c r="AJ8" s="27">
        <s:v>21</s:v>
      </s:c>
      <s:c r="AK8" s="79">
        <s:v>21</s:v>
      </s:c>
      <s:c r="AL8" s="26">
        <s:v>21</s:v>
      </s:c>
      <s:c r="AM8" s="80">
        <s:v>21</s:v>
      </s:c>
      <s:c r="AN8" s="76">
        <s:v>21</s:v>
      </s:c>
      <s:c r="AO8" s="26">
        <s:v>21</s:v>
      </s:c>
      <s:c r="AP8" s="27">
        <s:v>21</s:v>
      </s:c>
      <s:c r="AQ8" s="79">
        <s:v>21</s:v>
      </s:c>
      <s:c r="AR8" s="26">
        <s:v>21</s:v>
      </s:c>
      <s:c r="AS8" s="80">
        <s:v>21</s:v>
      </s:c>
      <s:c r="AT8" s="76">
        <s:v>21</s:v>
      </s:c>
      <s:c r="AU8" s="26"/>
      <s:c r="AV8" s="27"/>
      <s:c r="AW8" s="79"/>
      <s:c r="AX8" s="26"/>
      <s:c r="AY8" s="80"/>
      <s:c r="AZ8" s="76"/>
      <s:c r="BA8" s="26"/>
      <s:c r="BB8" s="27"/>
      <s:c r="BC8" s="79"/>
      <s:c r="BD8" s="26"/>
      <s:c r="BE8" s="80"/>
      <s:c r="BF8" s="76"/>
      <s:c r="BG8" s="26"/>
      <s:c r="BH8" s="27"/>
      <s:c r="BI8" s="79"/>
      <s:c r="BJ8" s="26"/>
      <s:c r="BK8" s="80"/>
      <s:c r="BL8" s="76"/>
      <s:c r="BM8" s="26"/>
      <s:c r="BN8" s="27"/>
      <s:c r="BO8" s="79"/>
      <s:c r="BP8" s="26"/>
      <s:c r="BQ8" s="80"/>
      <s:c r="BR8" s="76"/>
      <s:c r="BS8" s="26"/>
      <s:c r="BT8" s="27"/>
      <s:c r="BU8" s="79"/>
      <s:c r="BV8" s="26"/>
      <s:c r="BW8" s="80"/>
      <s:c r="BX8" s="76"/>
      <s:c r="BY8" s="26"/>
      <s:c r="BZ8" s="27"/>
      <s:c r="CA8" s="79"/>
      <s:c r="CB8" s="26"/>
      <s:c r="CC8" s="80"/>
      <s:c r="CD8" s="76"/>
      <s:c r="CE8" s="26"/>
      <s:c r="CF8" s="27"/>
      <s:c r="CG8" s="79"/>
      <s:c r="CH8" s="26"/>
      <s:c r="CI8" s="80"/>
      <s:c r="CJ8" s="76"/>
      <s:c r="CK8" s="26"/>
      <s:c r="CL8" s="27"/>
      <s:c r="CM8" s="79"/>
      <s:c r="CN8" s="26"/>
      <s:c r="CO8" s="80"/>
      <s:c r="CP8" s="76"/>
      <s:c r="CQ8" s="26"/>
      <s:c r="CR8" s="27"/>
      <s:c r="CS8" s="62">
        <s:f>SUMIFS(D8:CR8,$D$3:$CR$3,"З")</s:f>
        <s:v>105</s:v>
      </s:c>
      <s:c r="CT8" s="63">
        <s:f>SUMIFS(D8:CR8,$D$3:$CR$3,"О")</s:f>
        <s:v>84</s:v>
      </s:c>
      <s:c r="CU8" s="63">
        <s:f>SUMIFS(D8:CR8,$D$3:$CR$3,"У")</s:f>
        <s:v>105</s:v>
      </s:c>
      <s:c r="CV8" s="28">
        <s:f>IF(C8="Да",CS8*$D$45+CT8*$D$46+CU8*$D$47,CS8*$C$45+CT8*$C$46+CU8*$C$47)</s:f>
        <s:v>257250</s:v>
      </s:c>
      <s:c r="CW8" s="29">
        <s:f>IF(C8="Нет",CV8,"")</s:f>
        <s:v>257250</s:v>
      </s:c>
      <s:c r="CX8" s="30" t="str">
        <s:f>IF(C8="Да",CV8,"")</s:f>
        <s:v/>
      </s:c>
      <s:c r="CY8" s="30" t="str">
        <s:f>IF(C8="Налич",CV8,"")</s:f>
        <s:v/>
      </s:c>
      <s:c r="CZ8" s="122"/>
    </s:row>
    <s:row r="9" ht="21">
      <s:c r="A9" s="23">
        <s:f>IF(B9="","",COUNTA($B$4:B9))</s:f>
        <s:v>6</s:v>
      </s:c>
      <s:c r="B9" s="24" t="s">
        <s:v>74</s:v>
      </s:c>
      <s:c r="C9" s="25" t="s">
        <s:v>17</s:v>
      </s:c>
      <s:c r="D9" s="49"/>
      <s:c r="E9" s="50"/>
      <s:c r="F9" s="74"/>
      <s:c r="G9" s="79"/>
      <s:c r="H9" s="26"/>
      <s:c r="I9" s="80"/>
      <s:c r="J9" s="76"/>
      <s:c r="K9" s="26"/>
      <s:c r="L9" s="27"/>
      <s:c r="M9" s="79"/>
      <s:c r="N9" s="26"/>
      <s:c r="O9" s="80"/>
      <s:c r="P9" s="76"/>
      <s:c r="Q9" s="26"/>
      <s:c r="R9" s="27"/>
      <s:c r="S9" s="79"/>
      <s:c r="T9" s="26"/>
      <s:c r="U9" s="80"/>
      <s:c r="V9" s="76"/>
      <s:c r="W9" s="26"/>
      <s:c r="X9" s="27"/>
      <s:c r="Y9" s="79"/>
      <s:c r="Z9" s="26"/>
      <s:c r="AA9" s="80"/>
      <s:c r="AB9" s="76"/>
      <s:c r="AC9" s="26"/>
      <s:c r="AD9" s="27"/>
      <s:c r="AE9" s="79"/>
      <s:c r="AF9" s="26"/>
      <s:c r="AG9" s="80">
        <s:v>3</s:v>
      </s:c>
      <s:c r="AH9" s="76">
        <s:v>4</s:v>
      </s:c>
      <s:c r="AI9" s="26"/>
      <s:c r="AJ9" s="27"/>
      <s:c r="AK9" s="79"/>
      <s:c r="AL9" s="26"/>
      <s:c r="AM9" s="80"/>
      <s:c r="AN9" s="76"/>
      <s:c r="AO9" s="26"/>
      <s:c r="AP9" s="27"/>
      <s:c r="AQ9" s="79"/>
      <s:c r="AR9" s="26"/>
      <s:c r="AS9" s="80"/>
      <s:c r="AT9" s="76"/>
      <s:c r="AU9" s="26"/>
      <s:c r="AV9" s="27"/>
      <s:c r="AW9" s="79"/>
      <s:c r="AX9" s="26"/>
      <s:c r="AY9" s="80"/>
      <s:c r="AZ9" s="76"/>
      <s:c r="BA9" s="26"/>
      <s:c r="BB9" s="27"/>
      <s:c r="BC9" s="79"/>
      <s:c r="BD9" s="26"/>
      <s:c r="BE9" s="80"/>
      <s:c r="BF9" s="76"/>
      <s:c r="BG9" s="26"/>
      <s:c r="BH9" s="27"/>
      <s:c r="BI9" s="79"/>
      <s:c r="BJ9" s="26"/>
      <s:c r="BK9" s="80"/>
      <s:c r="BL9" s="76"/>
      <s:c r="BM9" s="26"/>
      <s:c r="BN9" s="27"/>
      <s:c r="BO9" s="79"/>
      <s:c r="BP9" s="26"/>
      <s:c r="BQ9" s="80"/>
      <s:c r="BR9" s="76"/>
      <s:c r="BS9" s="26"/>
      <s:c r="BT9" s="27"/>
      <s:c r="BU9" s="79"/>
      <s:c r="BV9" s="26"/>
      <s:c r="BW9" s="80"/>
      <s:c r="BX9" s="76"/>
      <s:c r="BY9" s="26"/>
      <s:c r="BZ9" s="27"/>
      <s:c r="CA9" s="79"/>
      <s:c r="CB9" s="26"/>
      <s:c r="CC9" s="80"/>
      <s:c r="CD9" s="76"/>
      <s:c r="CE9" s="26"/>
      <s:c r="CF9" s="27"/>
      <s:c r="CG9" s="79"/>
      <s:c r="CH9" s="26"/>
      <s:c r="CI9" s="80"/>
      <s:c r="CJ9" s="76"/>
      <s:c r="CK9" s="26"/>
      <s:c r="CL9" s="27"/>
      <s:c r="CM9" s="79"/>
      <s:c r="CN9" s="26"/>
      <s:c r="CO9" s="80"/>
      <s:c r="CP9" s="76"/>
      <s:c r="CQ9" s="26"/>
      <s:c r="CR9" s="27"/>
      <s:c r="CS9" s="62">
        <s:f>SUMIFS(D9:CR9,$D$3:$CR$3,"З")</s:f>
        <s:v>4</s:v>
      </s:c>
      <s:c r="CT9" s="63">
        <s:f>SUMIFS(D9:CR9,$D$3:$CR$3,"О")</s:f>
        <s:v>0</s:v>
      </s:c>
      <s:c r="CU9" s="63">
        <s:f>SUMIFS(D9:CR9,$D$3:$CR$3,"У")</s:f>
        <s:v>3</s:v>
      </s:c>
      <s:c r="CV9" s="28">
        <s:f>IF(C9="Да",CS9*$D$45+CT9*$D$46+CU9*$D$47,CS9*$C$45+CT9*$C$46+CU9*$C$47)</s:f>
        <s:v>6900</s:v>
      </s:c>
      <s:c r="CW9" s="29" t="str">
        <s:f>IF(C9="Нет",CV9,"")</s:f>
        <s:v/>
      </s:c>
      <s:c r="CX9" s="30">
        <s:f>IF(C9="Да",CV9,"")</s:f>
        <s:v>6900</s:v>
      </s:c>
      <s:c r="CY9" s="30" t="str">
        <s:f>IF(C9="Налич",CV9,"")</s:f>
        <s:v/>
      </s:c>
      <s:c r="CZ9" s="122"/>
    </s:row>
    <s:row r="10" ht="21">
      <s:c r="A10" s="23">
        <s:v>8</s:v>
      </s:c>
      <s:c r="B10" s="24" t="s">
        <s:v>75</s:v>
      </s:c>
      <s:c r="C10" s="25" t="s">
        <s:v>28</s:v>
      </s:c>
      <s:c r="D10" s="49"/>
      <s:c r="E10" s="50"/>
      <s:c r="F10" s="74"/>
      <s:c r="G10" s="79"/>
      <s:c r="H10" s="26"/>
      <s:c r="I10" s="80"/>
      <s:c r="J10" s="76"/>
      <s:c r="K10" s="26"/>
      <s:c r="L10" s="27"/>
      <s:c r="M10" s="79"/>
      <s:c r="N10" s="26"/>
      <s:c r="O10" s="80"/>
      <s:c r="P10" s="76"/>
      <s:c r="Q10" s="26"/>
      <s:c r="R10" s="27"/>
      <s:c r="S10" s="79"/>
      <s:c r="T10" s="26"/>
      <s:c r="U10" s="80"/>
      <s:c r="V10" s="76"/>
      <s:c r="W10" s="26"/>
      <s:c r="X10" s="27"/>
      <s:c r="Y10" s="79"/>
      <s:c r="Z10" s="26"/>
      <s:c r="AA10" s="80"/>
      <s:c r="AB10" s="76"/>
      <s:c r="AC10" s="26"/>
      <s:c r="AD10" s="27"/>
      <s:c r="AE10" s="79"/>
      <s:c r="AF10" s="26"/>
      <s:c r="AG10" s="80"/>
      <s:c r="AH10" s="76"/>
      <s:c r="AI10" s="26"/>
      <s:c r="AJ10" s="27"/>
      <s:c r="AK10" s="79">
        <s:v>1</s:v>
      </s:c>
      <s:c r="AL10" s="26"/>
      <s:c r="AM10" s="80"/>
      <s:c r="AN10" s="76">
        <s:v>1</s:v>
      </s:c>
      <s:c r="AO10" s="26"/>
      <s:c r="AP10" s="27"/>
      <s:c r="AQ10" s="79">
        <s:v>1</s:v>
      </s:c>
      <s:c r="AR10" s="26"/>
      <s:c r="AS10" s="80"/>
      <s:c r="AT10" s="76"/>
      <s:c r="AU10" s="26"/>
      <s:c r="AV10" s="27"/>
      <s:c r="AW10" s="79"/>
      <s:c r="AX10" s="26"/>
      <s:c r="AY10" s="80"/>
      <s:c r="AZ10" s="76"/>
      <s:c r="BA10" s="26"/>
      <s:c r="BB10" s="27"/>
      <s:c r="BC10" s="79"/>
      <s:c r="BD10" s="26"/>
      <s:c r="BE10" s="80"/>
      <s:c r="BF10" s="76"/>
      <s:c r="BG10" s="26"/>
      <s:c r="BH10" s="27"/>
      <s:c r="BI10" s="79"/>
      <s:c r="BJ10" s="26"/>
      <s:c r="BK10" s="80"/>
      <s:c r="BL10" s="76"/>
      <s:c r="BM10" s="26"/>
      <s:c r="BN10" s="27"/>
      <s:c r="BO10" s="79"/>
      <s:c r="BP10" s="26"/>
      <s:c r="BQ10" s="80"/>
      <s:c r="BR10" s="76"/>
      <s:c r="BS10" s="26"/>
      <s:c r="BT10" s="27"/>
      <s:c r="BU10" s="79"/>
      <s:c r="BV10" s="26"/>
      <s:c r="BW10" s="80"/>
      <s:c r="BX10" s="76"/>
      <s:c r="BY10" s="26"/>
      <s:c r="BZ10" s="27"/>
      <s:c r="CA10" s="79"/>
      <s:c r="CB10" s="26"/>
      <s:c r="CC10" s="80"/>
      <s:c r="CD10" s="76"/>
      <s:c r="CE10" s="26"/>
      <s:c r="CF10" s="27"/>
      <s:c r="CG10" s="79"/>
      <s:c r="CH10" s="26"/>
      <s:c r="CI10" s="80"/>
      <s:c r="CJ10" s="76"/>
      <s:c r="CK10" s="26"/>
      <s:c r="CL10" s="27"/>
      <s:c r="CM10" s="79"/>
      <s:c r="CN10" s="26"/>
      <s:c r="CO10" s="80"/>
      <s:c r="CP10" s="76"/>
      <s:c r="CQ10" s="26"/>
      <s:c r="CR10" s="27"/>
      <s:c r="CS10" s="62">
        <s:f>SUMIFS(D10:CR10,$D$3:$CR$3,"З")</s:f>
        <s:v>3</s:v>
      </s:c>
      <s:c r="CT10" s="63">
        <s:f>SUMIFS(D10:CR10,$D$3:$CR$3,"О")</s:f>
        <s:v>0</s:v>
      </s:c>
      <s:c r="CU10" s="63">
        <s:f>SUMIFS(D10:CR10,$D$3:$CR$3,"У")</s:f>
        <s:v>0</s:v>
      </s:c>
      <s:c r="CV10" s="28">
        <s:f>IF(C10="Да",CS10*$D$45+CT10*$D$46+CU10*$D$47,CS10*$C$45+CT10*$C$46+CU10*$C$47)</s:f>
        <s:v>2400</s:v>
      </s:c>
      <s:c r="CW10" s="29" t="str">
        <s:f>IF(C10="Нет",CV10,"")</s:f>
        <s:v/>
      </s:c>
      <s:c r="CX10" s="30" t="str">
        <s:f>IF(C10="Да",CV10,"")</s:f>
        <s:v/>
      </s:c>
      <s:c r="CY10" s="30">
        <s:f>IF(C10="Налич",CV10,"")</s:f>
        <s:v>2400</s:v>
      </s:c>
      <s:c r="CZ10" s="122"/>
    </s:row>
    <s:row r="11" ht="21">
      <s:c r="A11" s="23">
        <s:v>9</s:v>
      </s:c>
      <s:c r="B11" s="24" t="s">
        <s:v>76</s:v>
      </s:c>
      <s:c r="C11" s="25" t="s">
        <s:v>18</s:v>
      </s:c>
      <s:c r="D11" s="49"/>
      <s:c r="E11" s="50"/>
      <s:c r="F11" s="74"/>
      <s:c r="G11" s="79"/>
      <s:c r="H11" s="26"/>
      <s:c r="I11" s="80"/>
      <s:c r="J11" s="76"/>
      <s:c r="K11" s="26"/>
      <s:c r="L11" s="27"/>
      <s:c r="M11" s="79"/>
      <s:c r="N11" s="26"/>
      <s:c r="O11" s="80"/>
      <s:c r="P11" s="76"/>
      <s:c r="Q11" s="26"/>
      <s:c r="R11" s="27"/>
      <s:c r="S11" s="79"/>
      <s:c r="T11" s="26"/>
      <s:c r="U11" s="80"/>
      <s:c r="V11" s="76"/>
      <s:c r="W11" s="26"/>
      <s:c r="X11" s="27"/>
      <s:c r="Y11" s="79"/>
      <s:c r="Z11" s="26"/>
      <s:c r="AA11" s="80"/>
      <s:c r="AB11" s="76"/>
      <s:c r="AC11" s="26"/>
      <s:c r="AD11" s="27"/>
      <s:c r="AE11" s="79"/>
      <s:c r="AF11" s="26"/>
      <s:c r="AG11" s="80"/>
      <s:c r="AH11" s="76">
        <s:v>1</s:v>
      </s:c>
      <s:c r="AI11" s="26"/>
      <s:c r="AJ11" s="27"/>
      <s:c r="AK11" s="79"/>
      <s:c r="AL11" s="26"/>
      <s:c r="AM11" s="80"/>
      <s:c r="AN11" s="76"/>
      <s:c r="AO11" s="26"/>
      <s:c r="AP11" s="27"/>
      <s:c r="AQ11" s="79"/>
      <s:c r="AR11" s="26"/>
      <s:c r="AS11" s="80"/>
      <s:c r="AT11" s="76"/>
      <s:c r="AU11" s="26"/>
      <s:c r="AV11" s="27"/>
      <s:c r="AW11" s="79"/>
      <s:c r="AX11" s="26"/>
      <s:c r="AY11" s="80"/>
      <s:c r="AZ11" s="76"/>
      <s:c r="BA11" s="26"/>
      <s:c r="BB11" s="27"/>
      <s:c r="BC11" s="79"/>
      <s:c r="BD11" s="26"/>
      <s:c r="BE11" s="80"/>
      <s:c r="BF11" s="76"/>
      <s:c r="BG11" s="26"/>
      <s:c r="BH11" s="27"/>
      <s:c r="BI11" s="79"/>
      <s:c r="BJ11" s="26"/>
      <s:c r="BK11" s="80"/>
      <s:c r="BL11" s="76"/>
      <s:c r="BM11" s="26"/>
      <s:c r="BN11" s="27"/>
      <s:c r="BO11" s="79"/>
      <s:c r="BP11" s="26"/>
      <s:c r="BQ11" s="80"/>
      <s:c r="BR11" s="76"/>
      <s:c r="BS11" s="26"/>
      <s:c r="BT11" s="27"/>
      <s:c r="BU11" s="79"/>
      <s:c r="BV11" s="26"/>
      <s:c r="BW11" s="80"/>
      <s:c r="BX11" s="76"/>
      <s:c r="BY11" s="26"/>
      <s:c r="BZ11" s="27"/>
      <s:c r="CA11" s="79"/>
      <s:c r="CB11" s="26"/>
      <s:c r="CC11" s="80"/>
      <s:c r="CD11" s="76"/>
      <s:c r="CE11" s="26"/>
      <s:c r="CF11" s="27"/>
      <s:c r="CG11" s="79"/>
      <s:c r="CH11" s="26"/>
      <s:c r="CI11" s="80"/>
      <s:c r="CJ11" s="76"/>
      <s:c r="CK11" s="26"/>
      <s:c r="CL11" s="27"/>
      <s:c r="CM11" s="79"/>
      <s:c r="CN11" s="26"/>
      <s:c r="CO11" s="80"/>
      <s:c r="CP11" s="76"/>
      <s:c r="CQ11" s="26"/>
      <s:c r="CR11" s="27"/>
      <s:c r="CS11" s="62">
        <s:f>SUMIFS(D11:CR11,$D$3:$CR$3,"З")</s:f>
        <s:v>1</s:v>
      </s:c>
      <s:c r="CT11" s="63">
        <s:f>SUMIFS(D11:CR11,$D$3:$CR$3,"О")</s:f>
        <s:v>0</s:v>
      </s:c>
      <s:c r="CU11" s="63">
        <s:f>SUMIFS(D11:CR11,$D$3:$CR$3,"У")</s:f>
        <s:v>0</s:v>
      </s:c>
      <s:c r="CV11" s="28">
        <s:f>IF(C11="Да",CS11*$D$45+CT11*$D$46+CU11*$D$47,CS11*$C$45+CT11*$C$46+CU11*$C$47)</s:f>
        <s:v>800</s:v>
      </s:c>
      <s:c r="CW11" s="29">
        <s:f>IF(C11="Нет",CV11,"")</s:f>
        <s:v>800</s:v>
      </s:c>
      <s:c r="CX11" s="30" t="str">
        <s:f>IF(C11="Да",CV11,"")</s:f>
        <s:v/>
      </s:c>
      <s:c r="CY11" s="30" t="str">
        <s:f>IF(C11="Налич",CV11,"")</s:f>
        <s:v/>
      </s:c>
      <s:c r="CZ11" s="122"/>
    </s:row>
    <s:row r="12" ht="21">
      <s:c r="A12" s="23">
        <s:v>10</s:v>
      </s:c>
      <s:c r="B12" s="24" t="s">
        <s:v>77</s:v>
      </s:c>
      <s:c r="C12" s="25" t="s">
        <s:v>18</s:v>
      </s:c>
      <s:c r="D12" s="49"/>
      <s:c r="E12" s="50"/>
      <s:c r="F12" s="74"/>
      <s:c r="G12" s="79"/>
      <s:c r="H12" s="26"/>
      <s:c r="I12" s="80"/>
      <s:c r="J12" s="76"/>
      <s:c r="K12" s="26"/>
      <s:c r="L12" s="27"/>
      <s:c r="M12" s="79"/>
      <s:c r="N12" s="26"/>
      <s:c r="O12" s="80"/>
      <s:c r="P12" s="76"/>
      <s:c r="Q12" s="26"/>
      <s:c r="R12" s="27"/>
      <s:c r="S12" s="79"/>
      <s:c r="T12" s="26"/>
      <s:c r="U12" s="80"/>
      <s:c r="V12" s="76"/>
      <s:c r="W12" s="26"/>
      <s:c r="X12" s="27"/>
      <s:c r="Y12" s="79"/>
      <s:c r="Z12" s="26"/>
      <s:c r="AA12" s="80"/>
      <s:c r="AB12" s="76"/>
      <s:c r="AC12" s="26"/>
      <s:c r="AD12" s="27"/>
      <s:c r="AE12" s="79"/>
      <s:c r="AF12" s="26"/>
      <s:c r="AG12" s="80"/>
      <s:c r="AH12" s="76"/>
      <s:c r="AI12" s="26"/>
      <s:c r="AJ12" s="27"/>
      <s:c r="AK12" s="79"/>
      <s:c r="AL12" s="26"/>
      <s:c r="AM12" s="80"/>
      <s:c r="AN12" s="76"/>
      <s:c r="AO12" s="26"/>
      <s:c r="AP12" s="27"/>
      <s:c r="AQ12" s="79"/>
      <s:c r="AR12" s="26"/>
      <s:c r="AS12" s="80"/>
      <s:c r="AT12" s="76"/>
      <s:c r="AU12" s="26"/>
      <s:c r="AV12" s="27"/>
      <s:c r="AW12" s="79">
        <s:v>1</s:v>
      </s:c>
      <s:c r="AX12" s="26"/>
      <s:c r="AY12" s="80"/>
      <s:c r="AZ12" s="76">
        <s:v>1</s:v>
      </s:c>
      <s:c r="BA12" s="26"/>
      <s:c r="BB12" s="27"/>
      <s:c r="BC12" s="79"/>
      <s:c r="BD12" s="26"/>
      <s:c r="BE12" s="80"/>
      <s:c r="BF12" s="76"/>
      <s:c r="BG12" s="26"/>
      <s:c r="BH12" s="27"/>
      <s:c r="BI12" s="79"/>
      <s:c r="BJ12" s="26"/>
      <s:c r="BK12" s="80"/>
      <s:c r="BL12" s="76"/>
      <s:c r="BM12" s="26"/>
      <s:c r="BN12" s="27"/>
      <s:c r="BO12" s="79"/>
      <s:c r="BP12" s="26"/>
      <s:c r="BQ12" s="80"/>
      <s:c r="BR12" s="76"/>
      <s:c r="BS12" s="26"/>
      <s:c r="BT12" s="27"/>
      <s:c r="BU12" s="79"/>
      <s:c r="BV12" s="26"/>
      <s:c r="BW12" s="80"/>
      <s:c r="BX12" s="76"/>
      <s:c r="BY12" s="26"/>
      <s:c r="BZ12" s="27"/>
      <s:c r="CA12" s="79"/>
      <s:c r="CB12" s="26"/>
      <s:c r="CC12" s="80"/>
      <s:c r="CD12" s="76"/>
      <s:c r="CE12" s="26"/>
      <s:c r="CF12" s="27"/>
      <s:c r="CG12" s="79"/>
      <s:c r="CH12" s="26"/>
      <s:c r="CI12" s="80"/>
      <s:c r="CJ12" s="76"/>
      <s:c r="CK12" s="26"/>
      <s:c r="CL12" s="27"/>
      <s:c r="CM12" s="79"/>
      <s:c r="CN12" s="26"/>
      <s:c r="CO12" s="80"/>
      <s:c r="CP12" s="76"/>
      <s:c r="CQ12" s="26"/>
      <s:c r="CR12" s="27"/>
      <s:c r="CS12" s="62">
        <s:f>SUMIFS(D12:CR12,$D$3:$CR$3,"З")</s:f>
        <s:v>2</s:v>
      </s:c>
      <s:c r="CT12" s="63">
        <s:f>SUMIFS(D12:CR12,$D$3:$CR$3,"О")</s:f>
        <s:v>0</s:v>
      </s:c>
      <s:c r="CU12" s="63">
        <s:f>SUMIFS(D12:CR12,$D$3:$CR$3,"У")</s:f>
        <s:v>0</s:v>
      </s:c>
      <s:c r="CV12" s="28">
        <s:f>IF(C12="Да",CS12*$D$45+CT12*$D$46+CU12*$D$47,CS12*$C$45+CT12*$C$46+CU12*$C$47)</s:f>
        <s:v>1600</s:v>
      </s:c>
      <s:c r="CW12" s="29">
        <s:f>IF(C12="Нет",CV12,"")</s:f>
        <s:v>1600</s:v>
      </s:c>
      <s:c r="CX12" s="30" t="str">
        <s:f>IF(C12="Да",CV12,"")</s:f>
        <s:v/>
      </s:c>
      <s:c r="CY12" s="30" t="str">
        <s:f>IF(C12="Налич",CV12,"")</s:f>
        <s:v/>
      </s:c>
      <s:c r="CZ12" s="122"/>
    </s:row>
    <s:row r="13" ht="21">
      <s:c r="A13" s="23">
        <s:v>11</s:v>
      </s:c>
      <s:c r="B13" s="24" t="s">
        <s:v>78</s:v>
      </s:c>
      <s:c r="C13" s="25" t="s">
        <s:v>18</s:v>
      </s:c>
      <s:c r="D13" s="49"/>
      <s:c r="E13" s="50"/>
      <s:c r="F13" s="74"/>
      <s:c r="G13" s="79"/>
      <s:c r="H13" s="26"/>
      <s:c r="I13" s="80"/>
      <s:c r="J13" s="76"/>
      <s:c r="K13" s="26">
        <s:v>2</s:v>
      </s:c>
      <s:c r="L13" s="27">
        <s:v>4</s:v>
      </s:c>
      <s:c r="M13" s="79">
        <s:v>4</s:v>
      </s:c>
      <s:c r="N13" s="26">
        <s:v>4</s:v>
      </s:c>
      <s:c r="O13" s="80">
        <s:v>4</s:v>
      </s:c>
      <s:c r="P13" s="76">
        <s:v>4</s:v>
      </s:c>
      <s:c r="Q13" s="26">
        <s:v>4</s:v>
      </s:c>
      <s:c r="R13" s="27">
        <s:v>4</s:v>
      </s:c>
      <s:c r="S13" s="79">
        <s:v>4</s:v>
      </s:c>
      <s:c r="T13" s="26">
        <s:v>4</s:v>
      </s:c>
      <s:c r="U13" s="80">
        <s:v>4</s:v>
      </s:c>
      <s:c r="V13" s="76">
        <s:v>4</s:v>
      </s:c>
      <s:c r="W13" s="26">
        <s:v>4</s:v>
      </s:c>
      <s:c r="X13" s="27">
        <s:v>4</s:v>
      </s:c>
      <s:c r="Y13" s="79">
        <s:v>4</s:v>
      </s:c>
      <s:c r="Z13" s="26"/>
      <s:c r="AA13" s="80"/>
      <s:c r="AB13" s="76"/>
      <s:c r="AC13" s="26"/>
      <s:c r="AD13" s="27"/>
      <s:c r="AE13" s="79"/>
      <s:c r="AF13" s="26"/>
      <s:c r="AG13" s="80"/>
      <s:c r="AH13" s="76"/>
      <s:c r="AI13" s="26"/>
      <s:c r="AJ13" s="27"/>
      <s:c r="AK13" s="79"/>
      <s:c r="AL13" s="26"/>
      <s:c r="AM13" s="80"/>
      <s:c r="AN13" s="76"/>
      <s:c r="AO13" s="26"/>
      <s:c r="AP13" s="27"/>
      <s:c r="AQ13" s="79"/>
      <s:c r="AR13" s="26"/>
      <s:c r="AS13" s="80"/>
      <s:c r="AT13" s="76"/>
      <s:c r="AU13" s="26"/>
      <s:c r="AV13" s="27"/>
      <s:c r="AW13" s="79"/>
      <s:c r="AX13" s="26"/>
      <s:c r="AY13" s="80"/>
      <s:c r="AZ13" s="76"/>
      <s:c r="BA13" s="26"/>
      <s:c r="BB13" s="27"/>
      <s:c r="BC13" s="79"/>
      <s:c r="BD13" s="26"/>
      <s:c r="BE13" s="80"/>
      <s:c r="BF13" s="76"/>
      <s:c r="BG13" s="26"/>
      <s:c r="BH13" s="27"/>
      <s:c r="BI13" s="79"/>
      <s:c r="BJ13" s="26"/>
      <s:c r="BK13" s="80"/>
      <s:c r="BL13" s="76"/>
      <s:c r="BM13" s="26"/>
      <s:c r="BN13" s="27"/>
      <s:c r="BO13" s="79"/>
      <s:c r="BP13" s="26"/>
      <s:c r="BQ13" s="80"/>
      <s:c r="BR13" s="76"/>
      <s:c r="BS13" s="26"/>
      <s:c r="BT13" s="27"/>
      <s:c r="BU13" s="79"/>
      <s:c r="BV13" s="26"/>
      <s:c r="BW13" s="80"/>
      <s:c r="BX13" s="76"/>
      <s:c r="BY13" s="26"/>
      <s:c r="BZ13" s="27"/>
      <s:c r="CA13" s="79"/>
      <s:c r="CB13" s="26"/>
      <s:c r="CC13" s="80"/>
      <s:c r="CD13" s="76"/>
      <s:c r="CE13" s="26"/>
      <s:c r="CF13" s="27"/>
      <s:c r="CG13" s="79"/>
      <s:c r="CH13" s="26"/>
      <s:c r="CI13" s="80"/>
      <s:c r="CJ13" s="76"/>
      <s:c r="CK13" s="26"/>
      <s:c r="CL13" s="27"/>
      <s:c r="CM13" s="79"/>
      <s:c r="CN13" s="26"/>
      <s:c r="CO13" s="80"/>
      <s:c r="CP13" s="76"/>
      <s:c r="CQ13" s="26"/>
      <s:c r="CR13" s="27"/>
      <s:c r="CS13" s="62">
        <s:f>SUMIFS(D13:CR13,$D$3:$CR$3,"З")</s:f>
        <s:v>20</s:v>
      </s:c>
      <s:c r="CT13" s="63">
        <s:f>SUMIFS(D13:CR13,$D$3:$CR$3,"О")</s:f>
        <s:v>18</s:v>
      </s:c>
      <s:c r="CU13" s="63">
        <s:f>SUMIFS(D13:CR13,$D$3:$CR$3,"У")</s:f>
        <s:v>20</s:v>
      </s:c>
      <s:c r="CV13" s="28">
        <s:f>IF(C13="Да",CS13*$D$45+CT13*$D$46+CU13*$D$47,CS13*$C$45+CT13*$C$46+CU13*$C$47)</s:f>
        <s:v>51000</s:v>
      </s:c>
      <s:c r="CW13" s="29">
        <s:f>IF(C13="Нет",CV13,"")</s:f>
        <s:v>51000</s:v>
      </s:c>
      <s:c r="CX13" s="30" t="str">
        <s:f>IF(C13="Да",CV13,"")</s:f>
        <s:v/>
      </s:c>
      <s:c r="CY13" s="30" t="str">
        <s:f>IF(C13="Налич",CV13,"")</s:f>
        <s:v/>
      </s:c>
      <s:c r="CZ13" s="122"/>
    </s:row>
    <s:row r="14" ht="21">
      <s:c r="A14" s="23">
        <s:f>IF(B14="","",COUNTA($B$4:B14))</s:f>
        <s:v>11</s:v>
      </s:c>
      <s:c r="B14" s="24" t="s">
        <s:v>79</s:v>
      </s:c>
      <s:c r="C14" s="25" t="s">
        <s:v>18</s:v>
      </s:c>
      <s:c r="D14" s="49"/>
      <s:c r="E14" s="50"/>
      <s:c r="F14" s="74"/>
      <s:c r="G14" s="79"/>
      <s:c r="H14" s="26"/>
      <s:c r="I14" s="80"/>
      <s:c r="J14" s="76"/>
      <s:c r="K14" s="26"/>
      <s:c r="L14" s="27"/>
      <s:c r="M14" s="79"/>
      <s:c r="N14" s="26"/>
      <s:c r="O14" s="80"/>
      <s:c r="P14" s="76"/>
      <s:c r="Q14" s="26"/>
      <s:c r="R14" s="27"/>
      <s:c r="S14" s="79"/>
      <s:c r="T14" s="26"/>
      <s:c r="U14" s="80"/>
      <s:c r="V14" s="76">
        <s:v>1</s:v>
      </s:c>
      <s:c r="W14" s="26"/>
      <s:c r="X14" s="27"/>
      <s:c r="Y14" s="79"/>
      <s:c r="Z14" s="26"/>
      <s:c r="AA14" s="80"/>
      <s:c r="AB14" s="76"/>
      <s:c r="AC14" s="26"/>
      <s:c r="AD14" s="27"/>
      <s:c r="AE14" s="79"/>
      <s:c r="AF14" s="26"/>
      <s:c r="AG14" s="80"/>
      <s:c r="AH14" s="76"/>
      <s:c r="AI14" s="26"/>
      <s:c r="AJ14" s="27"/>
      <s:c r="AK14" s="79"/>
      <s:c r="AL14" s="26"/>
      <s:c r="AM14" s="80"/>
      <s:c r="AN14" s="76"/>
      <s:c r="AO14" s="26"/>
      <s:c r="AP14" s="27"/>
      <s:c r="AQ14" s="79"/>
      <s:c r="AR14" s="26"/>
      <s:c r="AS14" s="80"/>
      <s:c r="AT14" s="76"/>
      <s:c r="AU14" s="26"/>
      <s:c r="AV14" s="27"/>
      <s:c r="AW14" s="79"/>
      <s:c r="AX14" s="26"/>
      <s:c r="AY14" s="80"/>
      <s:c r="AZ14" s="76"/>
      <s:c r="BA14" s="26"/>
      <s:c r="BB14" s="27"/>
      <s:c r="BC14" s="79"/>
      <s:c r="BD14" s="26"/>
      <s:c r="BE14" s="80"/>
      <s:c r="BF14" s="76"/>
      <s:c r="BG14" s="26"/>
      <s:c r="BH14" s="27"/>
      <s:c r="BI14" s="79"/>
      <s:c r="BJ14" s="26"/>
      <s:c r="BK14" s="80"/>
      <s:c r="BL14" s="76"/>
      <s:c r="BM14" s="26"/>
      <s:c r="BN14" s="27"/>
      <s:c r="BO14" s="79"/>
      <s:c r="BP14" s="26"/>
      <s:c r="BQ14" s="80"/>
      <s:c r="BR14" s="76"/>
      <s:c r="BS14" s="26"/>
      <s:c r="BT14" s="27"/>
      <s:c r="BU14" s="79"/>
      <s:c r="BV14" s="26"/>
      <s:c r="BW14" s="80"/>
      <s:c r="BX14" s="76"/>
      <s:c r="BY14" s="26"/>
      <s:c r="BZ14" s="27"/>
      <s:c r="CA14" s="79"/>
      <s:c r="CB14" s="26"/>
      <s:c r="CC14" s="80"/>
      <s:c r="CD14" s="76"/>
      <s:c r="CE14" s="26"/>
      <s:c r="CF14" s="27"/>
      <s:c r="CG14" s="79"/>
      <s:c r="CH14" s="26"/>
      <s:c r="CI14" s="80"/>
      <s:c r="CJ14" s="76"/>
      <s:c r="CK14" s="26"/>
      <s:c r="CL14" s="27"/>
      <s:c r="CM14" s="79"/>
      <s:c r="CN14" s="26"/>
      <s:c r="CO14" s="80"/>
      <s:c r="CP14" s="76"/>
      <s:c r="CQ14" s="26"/>
      <s:c r="CR14" s="27"/>
      <s:c r="CS14" s="62">
        <s:f>SUMIFS(D14:CR14,$D$3:$CR$3,"З")</s:f>
        <s:v>1</s:v>
      </s:c>
      <s:c r="CT14" s="63">
        <s:f>SUMIFS(D14:CR14,$D$3:$CR$3,"О")</s:f>
        <s:v>0</s:v>
      </s:c>
      <s:c r="CU14" s="63">
        <s:f>SUMIFS(D14:CR14,$D$3:$CR$3,"У")</s:f>
        <s:v>0</s:v>
      </s:c>
      <s:c r="CV14" s="28">
        <s:f>IF(C14="Да",CS14*$D$45+CT14*$D$46+CU14*$D$47,CS14*$C$45+CT14*$C$46+CU14*$C$47)</s:f>
        <s:v>800</s:v>
      </s:c>
      <s:c r="CW14" s="29">
        <s:f>IF(C14="Нет",CV14,"")</s:f>
        <s:v>800</s:v>
      </s:c>
      <s:c r="CX14" s="30" t="str">
        <s:f>IF(C14="Да",CV14,"")</s:f>
        <s:v/>
      </s:c>
      <s:c r="CY14" s="30" t="str">
        <s:f>IF(C14="Налич",CV14,"")</s:f>
        <s:v/>
      </s:c>
      <s:c r="CZ14" s="122"/>
    </s:row>
    <s:row r="15" ht="21">
      <s:c r="A15" s="23">
        <s:f>IF(B15="","",COUNTA($B$4:B15))</s:f>
        <s:v>12</s:v>
      </s:c>
      <s:c r="B15" s="24" t="s">
        <s:v>81</s:v>
      </s:c>
      <s:c r="C15" s="25" t="s">
        <s:v>18</s:v>
      </s:c>
      <s:c r="D15" s="49"/>
      <s:c r="E15" s="50"/>
      <s:c r="F15" s="74"/>
      <s:c r="G15" s="79"/>
      <s:c r="H15" s="26"/>
      <s:c r="I15" s="80"/>
      <s:c r="J15" s="76"/>
      <s:c r="K15" s="26"/>
      <s:c r="L15" s="27"/>
      <s:c r="M15" s="79"/>
      <s:c r="N15" s="26"/>
      <s:c r="O15" s="80"/>
      <s:c r="P15" s="76"/>
      <s:c r="Q15" s="26"/>
      <s:c r="R15" s="27"/>
      <s:c r="S15" s="79"/>
      <s:c r="T15" s="26"/>
      <s:c r="U15" s="80"/>
      <s:c r="V15" s="76"/>
      <s:c r="W15" s="26"/>
      <s:c r="X15" s="27"/>
      <s:c r="Y15" s="79"/>
      <s:c r="Z15" s="26"/>
      <s:c r="AA15" s="80"/>
      <s:c r="AB15" s="76"/>
      <s:c r="AC15" s="26"/>
      <s:c r="AD15" s="27"/>
      <s:c r="AE15" s="79"/>
      <s:c r="AF15" s="26"/>
      <s:c r="AG15" s="80"/>
      <s:c r="AH15" s="76"/>
      <s:c r="AI15" s="26"/>
      <s:c r="AJ15" s="27"/>
      <s:c r="AK15" s="79"/>
      <s:c r="AL15" s="26"/>
      <s:c r="AM15" s="80"/>
      <s:c r="AN15" s="76">
        <s:v>2</s:v>
      </s:c>
      <s:c r="AO15" s="26"/>
      <s:c r="AP15" s="27"/>
      <s:c r="AQ15" s="79">
        <s:v>2</s:v>
      </s:c>
      <s:c r="AR15" s="26"/>
      <s:c r="AS15" s="80"/>
      <s:c r="AT15" s="76">
        <s:v>1</s:v>
      </s:c>
      <s:c r="AU15" s="26"/>
      <s:c r="AV15" s="27"/>
      <s:c r="AW15" s="79">
        <s:v>1</s:v>
      </s:c>
      <s:c r="AX15" s="26"/>
      <s:c r="AY15" s="80"/>
      <s:c r="AZ15" s="76">
        <s:v>4</s:v>
      </s:c>
      <s:c r="BA15" s="26"/>
      <s:c r="BB15" s="27"/>
      <s:c r="BC15" s="79">
        <s:v>3</s:v>
      </s:c>
      <s:c r="BD15" s="26"/>
      <s:c r="BE15" s="80"/>
      <s:c r="BF15" s="76">
        <s:v>3</s:v>
      </s:c>
      <s:c r="BG15" s="26"/>
      <s:c r="BH15" s="27"/>
      <s:c r="BI15" s="79">
        <s:v>5</s:v>
      </s:c>
      <s:c r="BJ15" s="26"/>
      <s:c r="BK15" s="80"/>
      <s:c r="BL15" s="76">
        <s:v>2</s:v>
      </s:c>
      <s:c r="BM15" s="26"/>
      <s:c r="BN15" s="27"/>
      <s:c r="BO15" s="79">
        <s:v>3</s:v>
      </s:c>
      <s:c r="BP15" s="26"/>
      <s:c r="BQ15" s="80"/>
      <s:c r="BR15" s="76">
        <s:v>3</s:v>
      </s:c>
      <s:c r="BS15" s="26"/>
      <s:c r="BT15" s="27"/>
      <s:c r="BU15" s="79">
        <s:v>3</s:v>
      </s:c>
      <s:c r="BV15" s="26"/>
      <s:c r="BW15" s="80"/>
      <s:c r="BX15" s="76"/>
      <s:c r="BY15" s="26"/>
      <s:c r="BZ15" s="27"/>
      <s:c r="CA15" s="79"/>
      <s:c r="CB15" s="26"/>
      <s:c r="CC15" s="80"/>
      <s:c r="CD15" s="76">
        <s:v>3</s:v>
      </s:c>
      <s:c r="CE15" s="26"/>
      <s:c r="CF15" s="27"/>
      <s:c r="CG15" s="79">
        <s:v>3</s:v>
      </s:c>
      <s:c r="CH15" s="26"/>
      <s:c r="CI15" s="80"/>
      <s:c r="CJ15" s="76"/>
      <s:c r="CK15" s="26"/>
      <s:c r="CL15" s="27"/>
      <s:c r="CM15" s="79"/>
      <s:c r="CN15" s="26"/>
      <s:c r="CO15" s="80"/>
      <s:c r="CP15" s="76"/>
      <s:c r="CQ15" s="26"/>
      <s:c r="CR15" s="27"/>
      <s:c r="CS15" s="62">
        <s:f>SUMIFS(D15:CR15,$D$3:$CR$3,"З")</s:f>
        <s:v>38</s:v>
      </s:c>
      <s:c r="CT15" s="63">
        <s:f>SUMIFS(D15:CR15,$D$3:$CR$3,"О")</s:f>
        <s:v>0</s:v>
      </s:c>
      <s:c r="CU15" s="63">
        <s:f>SUMIFS(D15:CR15,$D$3:$CR$3,"У")</s:f>
        <s:v>0</s:v>
      </s:c>
      <s:c r="CV15" s="28">
        <s:f>IF(C15="Да",CS15*$D$45+CT15*$D$46+CU15*$D$47,CS15*$C$45+CT15*$C$46+CU15*$C$47)</s:f>
        <s:v>30400</s:v>
      </s:c>
      <s:c r="CW15" s="29">
        <s:f>IF(C15="Нет",CV15,"")</s:f>
        <s:v>30400</s:v>
      </s:c>
      <s:c r="CX15" s="30" t="str">
        <s:f>IF(C15="Да",CV15,"")</s:f>
        <s:v/>
      </s:c>
      <s:c r="CY15" s="30" t="str">
        <s:f>IF(C15="Налич",CV15,"")</s:f>
        <s:v/>
      </s:c>
      <s:c r="CZ15" s="122"/>
    </s:row>
    <s:row r="16" ht="21">
      <s:c r="A16" s="23">
        <s:f>IF(B16="","",COUNTA($B$4:B16))</s:f>
        <s:v>13</s:v>
      </s:c>
      <s:c r="B16" s="24" t="s">
        <s:v>80</s:v>
      </s:c>
      <s:c r="C16" s="25" t="s">
        <s:v>17</s:v>
      </s:c>
      <s:c r="D16" s="49"/>
      <s:c r="E16" s="50"/>
      <s:c r="F16" s="74"/>
      <s:c r="G16" s="79"/>
      <s:c r="H16" s="26"/>
      <s:c r="I16" s="80"/>
      <s:c r="J16" s="76"/>
      <s:c r="K16" s="26"/>
      <s:c r="L16" s="27"/>
      <s:c r="M16" s="79"/>
      <s:c r="N16" s="26"/>
      <s:c r="O16" s="80"/>
      <s:c r="P16" s="76"/>
      <s:c r="Q16" s="26"/>
      <s:c r="R16" s="27"/>
      <s:c r="S16" s="79"/>
      <s:c r="T16" s="26"/>
      <s:c r="U16" s="80"/>
      <s:c r="V16" s="76"/>
      <s:c r="W16" s="26"/>
      <s:c r="X16" s="27"/>
      <s:c r="Y16" s="79"/>
      <s:c r="Z16" s="26"/>
      <s:c r="AA16" s="80"/>
      <s:c r="AB16" s="76"/>
      <s:c r="AC16" s="26"/>
      <s:c r="AD16" s="27"/>
      <s:c r="AE16" s="79"/>
      <s:c r="AF16" s="26"/>
      <s:c r="AG16" s="80"/>
      <s:c r="AH16" s="76"/>
      <s:c r="AI16" s="26"/>
      <s:c r="AJ16" s="27"/>
      <s:c r="AK16" s="79"/>
      <s:c r="AL16" s="26"/>
      <s:c r="AM16" s="80"/>
      <s:c r="AN16" s="76"/>
      <s:c r="AO16" s="26"/>
      <s:c r="AP16" s="27"/>
      <s:c r="AQ16" s="79"/>
      <s:c r="AR16" s="26"/>
      <s:c r="AS16" s="80"/>
      <s:c r="AT16" s="76"/>
      <s:c r="AU16" s="26"/>
      <s:c r="AV16" s="27"/>
      <s:c r="AW16" s="79"/>
      <s:c r="AX16" s="26"/>
      <s:c r="AY16" s="80"/>
      <s:c r="AZ16" s="76"/>
      <s:c r="BA16" s="26"/>
      <s:c r="BB16" s="27"/>
      <s:c r="BC16" s="79">
        <s:v>1</s:v>
      </s:c>
      <s:c r="BD16" s="26"/>
      <s:c r="BE16" s="80"/>
      <s:c r="BF16" s="76">
        <s:v>1</s:v>
      </s:c>
      <s:c r="BG16" s="26"/>
      <s:c r="BH16" s="27"/>
      <s:c r="BI16" s="79"/>
      <s:c r="BJ16" s="26"/>
      <s:c r="BK16" s="80"/>
      <s:c r="BL16" s="76"/>
      <s:c r="BM16" s="26"/>
      <s:c r="BN16" s="27"/>
      <s:c r="BO16" s="79"/>
      <s:c r="BP16" s="26"/>
      <s:c r="BQ16" s="80"/>
      <s:c r="BR16" s="76"/>
      <s:c r="BS16" s="26"/>
      <s:c r="BT16" s="27"/>
      <s:c r="BU16" s="79"/>
      <s:c r="BV16" s="26"/>
      <s:c r="BW16" s="80"/>
      <s:c r="BX16" s="76"/>
      <s:c r="BY16" s="26"/>
      <s:c r="BZ16" s="27"/>
      <s:c r="CA16" s="79"/>
      <s:c r="CB16" s="26"/>
      <s:c r="CC16" s="80"/>
      <s:c r="CD16" s="76"/>
      <s:c r="CE16" s="26"/>
      <s:c r="CF16" s="27"/>
      <s:c r="CG16" s="79"/>
      <s:c r="CH16" s="26"/>
      <s:c r="CI16" s="80"/>
      <s:c r="CJ16" s="76"/>
      <s:c r="CK16" s="26"/>
      <s:c r="CL16" s="27"/>
      <s:c r="CM16" s="79"/>
      <s:c r="CN16" s="26"/>
      <s:c r="CO16" s="80"/>
      <s:c r="CP16" s="76"/>
      <s:c r="CQ16" s="26"/>
      <s:c r="CR16" s="27"/>
      <s:c r="CS16" s="62">
        <s:f>SUMIFS(D16:CR16,$D$3:$CR$3,"З")</s:f>
        <s:v>2</s:v>
      </s:c>
      <s:c r="CT16" s="63">
        <s:f>SUMIFS(D16:CR16,$D$3:$CR$3,"О")</s:f>
        <s:v>0</s:v>
      </s:c>
      <s:c r="CU16" s="63">
        <s:f>SUMIFS(D16:CR16,$D$3:$CR$3,"У")</s:f>
        <s:v>0</s:v>
      </s:c>
      <s:c r="CV16" s="28">
        <s:f>IF(C16="Да",CS16*$D$45+CT16*$D$46+CU16*$D$47,CS16*$C$45+CT16*$C$46+CU16*$C$47)</s:f>
        <s:v>1920</s:v>
      </s:c>
      <s:c r="CW16" s="29" t="str">
        <s:f>IF(C16="Нет",CV16,"")</s:f>
        <s:v/>
      </s:c>
      <s:c r="CX16" s="30">
        <s:f>IF(C16="Да",CV16,"")</s:f>
        <s:v>1920</s:v>
      </s:c>
      <s:c r="CY16" s="30" t="str">
        <s:f>IF(C16="Налич",CV16,"")</s:f>
        <s:v/>
      </s:c>
      <s:c r="CZ16" s="122"/>
    </s:row>
    <s:row r="17" ht="21">
      <s:c r="A17" s="23">
        <s:f>IF(B17="","",COUNTA($B$4:B17))</s:f>
        <s:v>14</s:v>
      </s:c>
      <s:c r="B17" s="24" t="s">
        <s:v>82</s:v>
      </s:c>
      <s:c r="C17" s="25" t="s">
        <s:v>18</s:v>
      </s:c>
      <s:c r="D17" s="49"/>
      <s:c r="E17" s="50"/>
      <s:c r="F17" s="74"/>
      <s:c r="G17" s="79"/>
      <s:c r="H17" s="26"/>
      <s:c r="I17" s="80"/>
      <s:c r="J17" s="76"/>
      <s:c r="K17" s="26"/>
      <s:c r="L17" s="27"/>
      <s:c r="M17" s="79"/>
      <s:c r="N17" s="26"/>
      <s:c r="O17" s="80"/>
      <s:c r="P17" s="76"/>
      <s:c r="Q17" s="26"/>
      <s:c r="R17" s="27"/>
      <s:c r="S17" s="79"/>
      <s:c r="T17" s="26"/>
      <s:c r="U17" s="80"/>
      <s:c r="V17" s="76"/>
      <s:c r="W17" s="26"/>
      <s:c r="X17" s="27"/>
      <s:c r="Y17" s="79"/>
      <s:c r="Z17" s="26"/>
      <s:c r="AA17" s="80"/>
      <s:c r="AB17" s="76"/>
      <s:c r="AC17" s="26"/>
      <s:c r="AD17" s="27"/>
      <s:c r="AE17" s="79"/>
      <s:c r="AF17" s="26"/>
      <s:c r="AG17" s="80"/>
      <s:c r="AH17" s="76"/>
      <s:c r="AI17" s="26"/>
      <s:c r="AJ17" s="27"/>
      <s:c r="AK17" s="79"/>
      <s:c r="AL17" s="26"/>
      <s:c r="AM17" s="80"/>
      <s:c r="AN17" s="76"/>
      <s:c r="AO17" s="26"/>
      <s:c r="AP17" s="27"/>
      <s:c r="AQ17" s="79"/>
      <s:c r="AR17" s="26"/>
      <s:c r="AS17" s="80"/>
      <s:c r="AT17" s="76"/>
      <s:c r="AU17" s="26"/>
      <s:c r="AV17" s="27"/>
      <s:c r="AW17" s="79"/>
      <s:c r="AX17" s="26"/>
      <s:c r="AY17" s="80"/>
      <s:c r="AZ17" s="76"/>
      <s:c r="BA17" s="26"/>
      <s:c r="BB17" s="27"/>
      <s:c r="BC17" s="79"/>
      <s:c r="BD17" s="26"/>
      <s:c r="BE17" s="80"/>
      <s:c r="BF17" s="76"/>
      <s:c r="BG17" s="26">
        <s:v>19</s:v>
      </s:c>
      <s:c r="BH17" s="27">
        <s:v>19</s:v>
      </s:c>
      <s:c r="BI17" s="79">
        <s:v>19</s:v>
      </s:c>
      <s:c r="BJ17" s="26">
        <s:v>19</s:v>
      </s:c>
      <s:c r="BK17" s="80">
        <s:v>19</s:v>
      </s:c>
      <s:c r="BL17" s="76">
        <s:v>19</s:v>
      </s:c>
      <s:c r="BM17" s="26">
        <s:v>19</s:v>
      </s:c>
      <s:c r="BN17" s="27">
        <s:v>19</s:v>
      </s:c>
      <s:c r="BO17" s="79">
        <s:v>19</s:v>
      </s:c>
      <s:c r="BP17" s="26">
        <s:v>19</s:v>
      </s:c>
      <s:c r="BQ17" s="80">
        <s:v>19</s:v>
      </s:c>
      <s:c r="BR17" s="76">
        <s:v>19</s:v>
      </s:c>
      <s:c r="BS17" s="26">
        <s:v>19</s:v>
      </s:c>
      <s:c r="BT17" s="27">
        <s:v>19</s:v>
      </s:c>
      <s:c r="BU17" s="79"/>
      <s:c r="BV17" s="26"/>
      <s:c r="BW17" s="80"/>
      <s:c r="BX17" s="76"/>
      <s:c r="BY17" s="26"/>
      <s:c r="BZ17" s="27"/>
      <s:c r="CA17" s="79"/>
      <s:c r="CB17" s="26"/>
      <s:c r="CC17" s="80"/>
      <s:c r="CD17" s="76"/>
      <s:c r="CE17" s="26"/>
      <s:c r="CF17" s="27"/>
      <s:c r="CG17" s="79"/>
      <s:c r="CH17" s="26"/>
      <s:c r="CI17" s="80"/>
      <s:c r="CJ17" s="76"/>
      <s:c r="CK17" s="26"/>
      <s:c r="CL17" s="27"/>
      <s:c r="CM17" s="79"/>
      <s:c r="CN17" s="26"/>
      <s:c r="CO17" s="80"/>
      <s:c r="CP17" s="76"/>
      <s:c r="CQ17" s="26"/>
      <s:c r="CR17" s="27"/>
      <s:c r="CS17" s="62">
        <s:f>SUMIFS(D17:CR17,$D$3:$CR$3,"З")</s:f>
        <s:v>76</s:v>
      </s:c>
      <s:c r="CT17" s="63">
        <s:f>SUMIFS(D17:CR17,$D$3:$CR$3,"О")</s:f>
        <s:v>95</s:v>
      </s:c>
      <s:c r="CU17" s="63">
        <s:f>SUMIFS(D17:CR17,$D$3:$CR$3,"У")</s:f>
        <s:v>95</s:v>
      </s:c>
      <s:c r="CV17" s="28">
        <s:f>IF(C17="Да",CS17*$D$45+CT17*$D$46+CU17*$D$47,CS17*$C$45+CT17*$C$46+CU17*$C$47)</s:f>
        <s:v>236550</s:v>
      </s:c>
      <s:c r="CW17" s="29">
        <s:f>IF(C17="Нет",CV17,"")</s:f>
        <s:v>236550</s:v>
      </s:c>
      <s:c r="CX17" s="30" t="str">
        <s:f>IF(C17="Да",CV17,"")</s:f>
        <s:v/>
      </s:c>
      <s:c r="CY17" s="30" t="str">
        <s:f>IF(C17="Налич",CV17,"")</s:f>
        <s:v/>
      </s:c>
    </s:row>
    <s:row r="18" ht="21">
      <s:c r="A18" s="23">
        <s:f>IF(B18="","",COUNTA($B$4:B18))</s:f>
        <s:v>15</s:v>
      </s:c>
      <s:c r="B18" s="24">
        <s:v>101.10899999999999</s:v>
      </s:c>
      <s:c r="C18" s="25" t="s">
        <s:v>18</s:v>
      </s:c>
      <s:c r="D18" s="49"/>
      <s:c r="E18" s="50"/>
      <s:c r="F18" s="74"/>
      <s:c r="G18" s="79"/>
      <s:c r="H18" s="26"/>
      <s:c r="I18" s="80"/>
      <s:c r="J18" s="76"/>
      <s:c r="K18" s="26"/>
      <s:c r="L18" s="27"/>
      <s:c r="M18" s="79"/>
      <s:c r="N18" s="26"/>
      <s:c r="O18" s="80"/>
      <s:c r="P18" s="76"/>
      <s:c r="Q18" s="26"/>
      <s:c r="R18" s="27"/>
      <s:c r="S18" s="79"/>
      <s:c r="T18" s="26"/>
      <s:c r="U18" s="80"/>
      <s:c r="V18" s="76"/>
      <s:c r="W18" s="26"/>
      <s:c r="X18" s="27"/>
      <s:c r="Y18" s="79"/>
      <s:c r="Z18" s="26"/>
      <s:c r="AA18" s="80"/>
      <s:c r="AB18" s="76"/>
      <s:c r="AC18" s="26"/>
      <s:c r="AD18" s="27"/>
      <s:c r="AE18" s="79"/>
      <s:c r="AF18" s="26"/>
      <s:c r="AG18" s="80"/>
      <s:c r="AH18" s="76"/>
      <s:c r="AI18" s="26"/>
      <s:c r="AJ18" s="27"/>
      <s:c r="AK18" s="79"/>
      <s:c r="AL18" s="26"/>
      <s:c r="AM18" s="80"/>
      <s:c r="AN18" s="76"/>
      <s:c r="AO18" s="26"/>
      <s:c r="AP18" s="27"/>
      <s:c r="AQ18" s="79"/>
      <s:c r="AR18" s="26"/>
      <s:c r="AS18" s="80"/>
      <s:c r="AT18" s="76"/>
      <s:c r="AU18" s="26"/>
      <s:c r="AV18" s="27"/>
      <s:c r="AW18" s="79"/>
      <s:c r="AX18" s="26"/>
      <s:c r="AY18" s="80"/>
      <s:c r="AZ18" s="76"/>
      <s:c r="BA18" s="26"/>
      <s:c r="BB18" s="27"/>
      <s:c r="BC18" s="79"/>
      <s:c r="BD18" s="26"/>
      <s:c r="BE18" s="80"/>
      <s:c r="BF18" s="76"/>
      <s:c r="BG18" s="26"/>
      <s:c r="BH18" s="27"/>
      <s:c r="BI18" s="79"/>
      <s:c r="BJ18" s="26"/>
      <s:c r="BK18" s="80"/>
      <s:c r="BL18" s="76"/>
      <s:c r="BM18" s="26"/>
      <s:c r="BN18" s="27"/>
      <s:c r="BO18" s="79"/>
      <s:c r="BP18" s="26"/>
      <s:c r="BQ18" s="80"/>
      <s:c r="BR18" s="76"/>
      <s:c r="BS18" s="26"/>
      <s:c r="BT18" s="27"/>
      <s:c r="BU18" s="79"/>
      <s:c r="BV18" s="26"/>
      <s:c r="BW18" s="80"/>
      <s:c r="BX18" s="76"/>
      <s:c r="BY18" s="26"/>
      <s:c r="BZ18" s="27"/>
      <s:c r="CA18" s="79"/>
      <s:c r="CB18" s="26"/>
      <s:c r="CC18" s="80"/>
      <s:c r="CD18" s="76"/>
      <s:c r="CE18" s="26"/>
      <s:c r="CF18" s="27"/>
      <s:c r="CG18" s="79"/>
      <s:c r="CH18" s="26"/>
      <s:c r="CI18" s="80"/>
      <s:c r="CJ18" s="76"/>
      <s:c r="CK18" s="26"/>
      <s:c r="CL18" s="27"/>
      <s:c r="CM18" s="79"/>
      <s:c r="CN18" s="26"/>
      <s:c r="CO18" s="80"/>
      <s:c r="CP18" s="76"/>
      <s:c r="CQ18" s="26"/>
      <s:c r="CR18" s="27"/>
      <s:c r="CS18" s="62">
        <s:f>SUMIFS(D18:CR18,$D$3:$CR$3,"З")</s:f>
        <s:v>0</s:v>
      </s:c>
      <s:c r="CT18" s="63">
        <s:f>SUMIFS(D18:CR18,$D$3:$CR$3,"О")</s:f>
        <s:v>0</s:v>
      </s:c>
      <s:c r="CU18" s="63">
        <s:f>SUMIFS(D18:CR18,$D$3:$CR$3,"У")</s:f>
        <s:v>0</s:v>
      </s:c>
      <s:c r="CV18" s="28">
        <s:f>IF(C18="Да",CS18*$D$45+CT18*$D$46+CU18*$D$47,CS18*$C$45+CT18*$C$46+CU18*$C$47)</s:f>
        <s:v>0</s:v>
      </s:c>
      <s:c r="CW18" s="29">
        <s:f>IF(C18="Нет",CV18,"")</s:f>
        <s:v>0</s:v>
      </s:c>
      <s:c r="CX18" s="30" t="str">
        <s:f>IF(C18="Да",CV18,"")</s:f>
        <s:v/>
      </s:c>
      <s:c r="CY18" s="30" t="str">
        <s:f>IF(C18="Налич",CV18,"")</s:f>
        <s:v/>
      </s:c>
    </s:row>
    <s:row r="19" ht="21">
      <s:c r="A19" s="23">
        <s:f>IF(B19="","",COUNTA($B$4:B19))</s:f>
        <s:v>16</s:v>
      </s:c>
      <s:c r="B19" s="24" t="s">
        <s:v>78</s:v>
      </s:c>
      <s:c r="C19" s="25" t="s">
        <s:v>28</s:v>
      </s:c>
      <s:c r="D19" s="49"/>
      <s:c r="E19" s="50"/>
      <s:c r="F19" s="74"/>
      <s:c r="G19" s="79"/>
      <s:c r="H19" s="26"/>
      <s:c r="I19" s="80"/>
      <s:c r="J19" s="76"/>
      <s:c r="K19" s="26">
        <s:v>9</s:v>
      </s:c>
      <s:c r="L19" s="27">
        <s:v>2</s:v>
      </s:c>
      <s:c r="M19" s="79">
        <s:v>2</s:v>
      </s:c>
      <s:c r="N19" s="26">
        <s:v>2</s:v>
      </s:c>
      <s:c r="O19" s="80">
        <s:v>2</s:v>
      </s:c>
      <s:c r="P19" s="76">
        <s:v>2</s:v>
      </s:c>
      <s:c r="Q19" s="26">
        <s:v>2</s:v>
      </s:c>
      <s:c r="R19" s="27">
        <s:v>2</s:v>
      </s:c>
      <s:c r="S19" s="79">
        <s:v>2</s:v>
      </s:c>
      <s:c r="T19" s="26">
        <s:v>2</s:v>
      </s:c>
      <s:c r="U19" s="80">
        <s:v>2</s:v>
      </s:c>
      <s:c r="V19" s="76">
        <s:v>2</s:v>
      </s:c>
      <s:c r="W19" s="26">
        <s:v>2</s:v>
      </s:c>
      <s:c r="X19" s="27">
        <s:v>2</s:v>
      </s:c>
      <s:c r="Y19" s="79">
        <s:v>2</s:v>
      </s:c>
      <s:c r="Z19" s="26"/>
      <s:c r="AA19" s="80"/>
      <s:c r="AB19" s="76"/>
      <s:c r="AC19" s="26"/>
      <s:c r="AD19" s="27"/>
      <s:c r="AE19" s="79"/>
      <s:c r="AF19" s="26"/>
      <s:c r="AG19" s="80"/>
      <s:c r="AH19" s="76"/>
      <s:c r="AI19" s="26"/>
      <s:c r="AJ19" s="27"/>
      <s:c r="AK19" s="79"/>
      <s:c r="AL19" s="26"/>
      <s:c r="AM19" s="80"/>
      <s:c r="AN19" s="76"/>
      <s:c r="AO19" s="26"/>
      <s:c r="AP19" s="27"/>
      <s:c r="AQ19" s="79"/>
      <s:c r="AR19" s="26"/>
      <s:c r="AS19" s="80"/>
      <s:c r="AT19" s="76"/>
      <s:c r="AU19" s="26"/>
      <s:c r="AV19" s="27"/>
      <s:c r="AW19" s="79"/>
      <s:c r="AX19" s="26"/>
      <s:c r="AY19" s="80"/>
      <s:c r="AZ19" s="76"/>
      <s:c r="BA19" s="26"/>
      <s:c r="BB19" s="27"/>
      <s:c r="BC19" s="79"/>
      <s:c r="BD19" s="26"/>
      <s:c r="BE19" s="80"/>
      <s:c r="BF19" s="76"/>
      <s:c r="BG19" s="26"/>
      <s:c r="BH19" s="27"/>
      <s:c r="BI19" s="79"/>
      <s:c r="BJ19" s="26"/>
      <s:c r="BK19" s="80"/>
      <s:c r="BL19" s="76"/>
      <s:c r="BM19" s="26"/>
      <s:c r="BN19" s="27"/>
      <s:c r="BO19" s="79"/>
      <s:c r="BP19" s="26"/>
      <s:c r="BQ19" s="80"/>
      <s:c r="BR19" s="76"/>
      <s:c r="BS19" s="26"/>
      <s:c r="BT19" s="27"/>
      <s:c r="BU19" s="79"/>
      <s:c r="BV19" s="26"/>
      <s:c r="BW19" s="80"/>
      <s:c r="BX19" s="76"/>
      <s:c r="BY19" s="26"/>
      <s:c r="BZ19" s="27"/>
      <s:c r="CA19" s="79"/>
      <s:c r="CB19" s="26"/>
      <s:c r="CC19" s="80"/>
      <s:c r="CD19" s="76"/>
      <s:c r="CE19" s="26"/>
      <s:c r="CF19" s="27"/>
      <s:c r="CG19" s="79"/>
      <s:c r="CH19" s="26"/>
      <s:c r="CI19" s="80"/>
      <s:c r="CJ19" s="76"/>
      <s:c r="CK19" s="26"/>
      <s:c r="CL19" s="27"/>
      <s:c r="CM19" s="79"/>
      <s:c r="CN19" s="26"/>
      <s:c r="CO19" s="80"/>
      <s:c r="CP19" s="76"/>
      <s:c r="CQ19" s="26"/>
      <s:c r="CR19" s="27"/>
      <s:c r="CS19" s="62">
        <s:f>SUMIFS(D19:CR19,$D$3:$CR$3,"З")</s:f>
        <s:v>10</s:v>
      </s:c>
      <s:c r="CT19" s="63">
        <s:f>SUMIFS(D19:CR19,$D$3:$CR$3,"О")</s:f>
        <s:v>17</s:v>
      </s:c>
      <s:c r="CU19" s="63">
        <s:f>SUMIFS(D19:CR19,$D$3:$CR$3,"У")</s:f>
        <s:v>10</s:v>
      </s:c>
      <s:c r="CV19" s="28">
        <s:f>IF(C19="Да",CS19*$D$45+CT19*$D$46+CU19*$D$47,CS19*$C$45+CT19*$C$46+CU19*$C$47)</s:f>
        <s:v>33500</s:v>
      </s:c>
      <s:c r="CW19" s="29" t="str">
        <s:f>IF(C19="Нет",CV19,"")</s:f>
        <s:v/>
      </s:c>
      <s:c r="CX19" s="30" t="str">
        <s:f>IF(C19="Да",CV19,"")</s:f>
        <s:v/>
      </s:c>
      <s:c r="CY19" s="30">
        <s:f>IF(C19="Налич",CV19,"")</s:f>
        <s:v>33500</s:v>
      </s:c>
    </s:row>
    <s:row r="20" ht="21">
      <s:c r="A20" s="23">
        <s:f>IF(B20="","",COUNTA($B$4:B20))</s:f>
        <s:v>17</s:v>
      </s:c>
      <s:c r="B20" s="24" t="s">
        <s:v>79</s:v>
      </s:c>
      <s:c r="C20" s="25" t="s">
        <s:v>28</s:v>
      </s:c>
      <s:c r="D20" s="49"/>
      <s:c r="E20" s="50"/>
      <s:c r="F20" s="74"/>
      <s:c r="G20" s="79"/>
      <s:c r="H20" s="26"/>
      <s:c r="I20" s="80"/>
      <s:c r="J20" s="76"/>
      <s:c r="K20" s="26"/>
      <s:c r="L20" s="27"/>
      <s:c r="M20" s="79"/>
      <s:c r="N20" s="26">
        <s:v>6</s:v>
      </s:c>
      <s:c r="O20" s="80">
        <s:v>6</s:v>
      </s:c>
      <s:c r="P20" s="76">
        <s:v>7</s:v>
      </s:c>
      <s:c r="Q20" s="26">
        <s:v>6</s:v>
      </s:c>
      <s:c r="R20" s="27">
        <s:v>5</s:v>
      </s:c>
      <s:c r="S20" s="79">
        <s:v>6</s:v>
      </s:c>
      <s:c r="T20" s="26">
        <s:v>5</s:v>
      </s:c>
      <s:c r="U20" s="80">
        <s:v>5</s:v>
      </s:c>
      <s:c r="V20" s="76">
        <s:v>5</s:v>
      </s:c>
      <s:c r="W20" s="26"/>
      <s:c r="X20" s="27"/>
      <s:c r="Y20" s="79"/>
      <s:c r="Z20" s="26"/>
      <s:c r="AA20" s="80"/>
      <s:c r="AB20" s="76"/>
      <s:c r="AC20" s="26"/>
      <s:c r="AD20" s="27"/>
      <s:c r="AE20" s="79"/>
      <s:c r="AF20" s="26"/>
      <s:c r="AG20" s="80"/>
      <s:c r="AH20" s="76"/>
      <s:c r="AI20" s="26"/>
      <s:c r="AJ20" s="27"/>
      <s:c r="AK20" s="79"/>
      <s:c r="AL20" s="26"/>
      <s:c r="AM20" s="80"/>
      <s:c r="AN20" s="76"/>
      <s:c r="AO20" s="26"/>
      <s:c r="AP20" s="27"/>
      <s:c r="AQ20" s="79"/>
      <s:c r="AR20" s="26"/>
      <s:c r="AS20" s="80"/>
      <s:c r="AT20" s="76"/>
      <s:c r="AU20" s="26"/>
      <s:c r="AV20" s="27"/>
      <s:c r="AW20" s="79"/>
      <s:c r="AX20" s="26"/>
      <s:c r="AY20" s="80"/>
      <s:c r="AZ20" s="76"/>
      <s:c r="BA20" s="26"/>
      <s:c r="BB20" s="27"/>
      <s:c r="BC20" s="79"/>
      <s:c r="BD20" s="26"/>
      <s:c r="BE20" s="80"/>
      <s:c r="BF20" s="76"/>
      <s:c r="BG20" s="26"/>
      <s:c r="BH20" s="27"/>
      <s:c r="BI20" s="79"/>
      <s:c r="BJ20" s="26"/>
      <s:c r="BK20" s="80"/>
      <s:c r="BL20" s="76"/>
      <s:c r="BM20" s="26"/>
      <s:c r="BN20" s="27"/>
      <s:c r="BO20" s="79"/>
      <s:c r="BP20" s="26"/>
      <s:c r="BQ20" s="80"/>
      <s:c r="BR20" s="76"/>
      <s:c r="BS20" s="26"/>
      <s:c r="BT20" s="27"/>
      <s:c r="BU20" s="79"/>
      <s:c r="BV20" s="26"/>
      <s:c r="BW20" s="80"/>
      <s:c r="BX20" s="76"/>
      <s:c r="BY20" s="26"/>
      <s:c r="BZ20" s="27"/>
      <s:c r="CA20" s="79"/>
      <s:c r="CB20" s="26"/>
      <s:c r="CC20" s="80"/>
      <s:c r="CD20" s="76"/>
      <s:c r="CE20" s="26"/>
      <s:c r="CF20" s="27"/>
      <s:c r="CG20" s="79"/>
      <s:c r="CH20" s="26"/>
      <s:c r="CI20" s="80"/>
      <s:c r="CJ20" s="76"/>
      <s:c r="CK20" s="26"/>
      <s:c r="CL20" s="27"/>
      <s:c r="CM20" s="79"/>
      <s:c r="CN20" s="26"/>
      <s:c r="CO20" s="80"/>
      <s:c r="CP20" s="76"/>
      <s:c r="CQ20" s="26"/>
      <s:c r="CR20" s="27"/>
      <s:c r="CS20" s="62">
        <s:f>SUMIFS(D20:CR20,$D$3:$CR$3,"З")</s:f>
        <s:v>18</s:v>
      </s:c>
      <s:c r="CT20" s="63">
        <s:f>SUMIFS(D20:CR20,$D$3:$CR$3,"О")</s:f>
        <s:v>17</s:v>
      </s:c>
      <s:c r="CU20" s="63">
        <s:f>SUMIFS(D20:CR20,$D$3:$CR$3,"У")</s:f>
        <s:v>16</s:v>
      </s:c>
      <s:c r="CV20" s="28">
        <s:f>IF(C20="Да",CS20*$D$45+CT20*$D$46+CU20*$D$47,CS20*$C$45+CT20*$C$46+CU20*$C$47)</s:f>
        <s:v>45000</s:v>
      </s:c>
      <s:c r="CW20" s="29" t="str">
        <s:f>IF(C20="Нет",CV20,"")</s:f>
        <s:v/>
      </s:c>
      <s:c r="CX20" s="30" t="str">
        <s:f>IF(C20="Да",CV20,"")</s:f>
        <s:v/>
      </s:c>
      <s:c r="CY20" s="30">
        <s:f>IF(C20="Налич",CV20,"")</s:f>
        <s:v>45000</s:v>
      </s:c>
    </s:row>
    <s:row r="21" ht="21">
      <s:c r="A21" s="23">
        <s:f>IF(B21="","",COUNTA($B$4:B21))</s:f>
        <s:v>18</s:v>
      </s:c>
      <s:c r="B21" s="33" t="s">
        <s:v>87</s:v>
      </s:c>
      <s:c r="C21" s="34" t="s">
        <s:v>17</s:v>
      </s:c>
      <s:c r="D21" s="53"/>
      <s:c r="E21" s="54"/>
      <s:c r="F21" s="74"/>
      <s:c r="G21" s="79"/>
      <s:c r="H21" s="26"/>
      <s:c r="I21" s="80"/>
      <s:c r="J21" s="76"/>
      <s:c r="K21" s="26"/>
      <s:c r="L21" s="27"/>
      <s:c r="M21" s="79">
        <s:v>1</s:v>
      </s:c>
      <s:c r="N21" s="26"/>
      <s:c r="O21" s="80"/>
      <s:c r="P21" s="76">
        <s:v>1</s:v>
      </s:c>
      <s:c r="Q21" s="26"/>
      <s:c r="R21" s="27"/>
      <s:c r="S21" s="79">
        <s:v>1.125</s:v>
      </s:c>
      <s:c r="T21" s="26"/>
      <s:c r="U21" s="80"/>
      <s:c r="V21" s="76"/>
      <s:c r="W21" s="26"/>
      <s:c r="X21" s="27"/>
      <s:c r="Y21" s="79"/>
      <s:c r="Z21" s="26"/>
      <s:c r="AA21" s="80"/>
      <s:c r="AB21" s="76"/>
      <s:c r="AC21" s="26"/>
      <s:c r="AD21" s="27"/>
      <s:c r="AE21" s="79"/>
      <s:c r="AF21" s="26"/>
      <s:c r="AG21" s="80"/>
      <s:c r="AH21" s="76"/>
      <s:c r="AI21" s="26"/>
      <s:c r="AJ21" s="27"/>
      <s:c r="AK21" s="79"/>
      <s:c r="AL21" s="26"/>
      <s:c r="AM21" s="80"/>
      <s:c r="AN21" s="76"/>
      <s:c r="AO21" s="26"/>
      <s:c r="AP21" s="27"/>
      <s:c r="AQ21" s="79"/>
      <s:c r="AR21" s="26"/>
      <s:c r="AS21" s="80"/>
      <s:c r="AT21" s="76"/>
      <s:c r="AU21" s="26"/>
      <s:c r="AV21" s="27"/>
      <s:c r="AW21" s="79"/>
      <s:c r="AX21" s="26"/>
      <s:c r="AY21" s="80"/>
      <s:c r="AZ21" s="76"/>
      <s:c r="BA21" s="26"/>
      <s:c r="BB21" s="27"/>
      <s:c r="BC21" s="79"/>
      <s:c r="BD21" s="26"/>
      <s:c r="BE21" s="80"/>
      <s:c r="BF21" s="76"/>
      <s:c r="BG21" s="26"/>
      <s:c r="BH21" s="27"/>
      <s:c r="BI21" s="79"/>
      <s:c r="BJ21" s="26"/>
      <s:c r="BK21" s="80"/>
      <s:c r="BL21" s="76"/>
      <s:c r="BM21" s="26"/>
      <s:c r="BN21" s="27"/>
      <s:c r="BO21" s="79">
        <s:v>1</s:v>
      </s:c>
      <s:c r="BP21" s="26"/>
      <s:c r="BQ21" s="80"/>
      <s:c r="BR21" s="76"/>
      <s:c r="BS21" s="26"/>
      <s:c r="BT21" s="27"/>
      <s:c r="BU21" s="79"/>
      <s:c r="BV21" s="26"/>
      <s:c r="BW21" s="80"/>
      <s:c r="BX21" s="76"/>
      <s:c r="BY21" s="26"/>
      <s:c r="BZ21" s="27"/>
      <s:c r="CA21" s="79"/>
      <s:c r="CB21" s="26"/>
      <s:c r="CC21" s="80"/>
      <s:c r="CD21" s="76"/>
      <s:c r="CE21" s="26"/>
      <s:c r="CF21" s="27"/>
      <s:c r="CG21" s="79"/>
      <s:c r="CH21" s="26"/>
      <s:c r="CI21" s="80"/>
      <s:c r="CJ21" s="76"/>
      <s:c r="CK21" s="26"/>
      <s:c r="CL21" s="27"/>
      <s:c r="CM21" s="79"/>
      <s:c r="CN21" s="26"/>
      <s:c r="CO21" s="80"/>
      <s:c r="CP21" s="76"/>
      <s:c r="CQ21" s="26"/>
      <s:c r="CR21" s="27"/>
      <s:c r="CS21" s="62">
        <s:f>SUMIFS(D21:CR21,$D$3:$CR$3,"З")</s:f>
        <s:v>4.125</s:v>
      </s:c>
      <s:c r="CT21" s="63">
        <s:f>SUMIFS(D21:CR21,$D$3:$CR$3,"О")</s:f>
        <s:v>0</s:v>
      </s:c>
      <s:c r="CU21" s="63">
        <s:f>SUMIFS(D21:CR21,$D$3:$CR$3,"У")</s:f>
        <s:v>0</s:v>
      </s:c>
      <s:c r="CV21" s="28">
        <s:f>IF(C21="Да",CS21*$D$45+CT21*$D$46+CU21*$D$47,CS21*$C$45+CT21*$C$46+CU21*$C$47)</s:f>
        <s:v>3960</s:v>
      </s:c>
      <s:c r="CW21" s="29" t="str">
        <s:f>IF(C21="Нет",CV21,"")</s:f>
        <s:v/>
      </s:c>
      <s:c r="CX21" s="30">
        <s:f>IF(C21="Да",CV21,"")</s:f>
        <s:v>3960</s:v>
      </s:c>
      <s:c r="CY21" s="30" t="str">
        <s:f>IF(C21="Налич",CV21,"")</s:f>
        <s:v/>
      </s:c>
    </s:row>
    <s:row r="22" ht="21">
      <s:c r="A22" s="23">
        <s:f>IF(B22="","",COUNTA($B$4:B22))</s:f>
        <s:v>19</s:v>
      </s:c>
      <s:c r="B22" s="24" t="s">
        <s:v>88</s:v>
      </s:c>
      <s:c r="C22" s="25" t="s">
        <s:v>18</s:v>
      </s:c>
      <s:c r="D22" s="49"/>
      <s:c r="E22" s="50"/>
      <s:c r="F22" s="74"/>
      <s:c r="G22" s="79"/>
      <s:c r="H22" s="26"/>
      <s:c r="I22" s="80"/>
      <s:c r="J22" s="76"/>
      <s:c r="K22" s="26"/>
      <s:c r="L22" s="27"/>
      <s:c r="M22" s="79"/>
      <s:c r="N22" s="26"/>
      <s:c r="O22" s="80"/>
      <s:c r="P22" s="76"/>
      <s:c r="Q22" s="26"/>
      <s:c r="R22" s="27"/>
      <s:c r="S22" s="79">
        <s:v>1</s:v>
      </s:c>
      <s:c r="T22" s="26"/>
      <s:c r="U22" s="80"/>
      <s:c r="V22" s="76">
        <s:v>1</s:v>
      </s:c>
      <s:c r="W22" s="26"/>
      <s:c r="X22" s="27"/>
      <s:c r="Y22" s="79"/>
      <s:c r="Z22" s="26"/>
      <s:c r="AA22" s="80"/>
      <s:c r="AB22" s="76"/>
      <s:c r="AC22" s="26"/>
      <s:c r="AD22" s="27"/>
      <s:c r="AE22" s="79"/>
      <s:c r="AF22" s="26"/>
      <s:c r="AG22" s="80"/>
      <s:c r="AH22" s="76"/>
      <s:c r="AI22" s="26"/>
      <s:c r="AJ22" s="27"/>
      <s:c r="AK22" s="79"/>
      <s:c r="AL22" s="26"/>
      <s:c r="AM22" s="80"/>
      <s:c r="AN22" s="76"/>
      <s:c r="AO22" s="26"/>
      <s:c r="AP22" s="27"/>
      <s:c r="AQ22" s="79"/>
      <s:c r="AR22" s="26"/>
      <s:c r="AS22" s="80"/>
      <s:c r="AT22" s="76"/>
      <s:c r="AU22" s="26"/>
      <s:c r="AV22" s="27"/>
      <s:c r="AW22" s="79"/>
      <s:c r="AX22" s="26"/>
      <s:c r="AY22" s="80"/>
      <s:c r="AZ22" s="76"/>
      <s:c r="BA22" s="26"/>
      <s:c r="BB22" s="27"/>
      <s:c r="BC22" s="79"/>
      <s:c r="BD22" s="26"/>
      <s:c r="BE22" s="80"/>
      <s:c r="BF22" s="76"/>
      <s:c r="BG22" s="26"/>
      <s:c r="BH22" s="27"/>
      <s:c r="BI22" s="79"/>
      <s:c r="BJ22" s="26"/>
      <s:c r="BK22" s="80"/>
      <s:c r="BL22" s="76"/>
      <s:c r="BM22" s="26"/>
      <s:c r="BN22" s="27"/>
      <s:c r="BO22" s="79"/>
      <s:c r="BP22" s="26"/>
      <s:c r="BQ22" s="80"/>
      <s:c r="BR22" s="76"/>
      <s:c r="BS22" s="26"/>
      <s:c r="BT22" s="27"/>
      <s:c r="BU22" s="79"/>
      <s:c r="BV22" s="26"/>
      <s:c r="BW22" s="80"/>
      <s:c r="BX22" s="76"/>
      <s:c r="BY22" s="26"/>
      <s:c r="BZ22" s="27"/>
      <s:c r="CA22" s="79"/>
      <s:c r="CB22" s="26"/>
      <s:c r="CC22" s="80"/>
      <s:c r="CD22" s="76"/>
      <s:c r="CE22" s="26"/>
      <s:c r="CF22" s="27"/>
      <s:c r="CG22" s="79"/>
      <s:c r="CH22" s="26"/>
      <s:c r="CI22" s="80"/>
      <s:c r="CJ22" s="76"/>
      <s:c r="CK22" s="26"/>
      <s:c r="CL22" s="27"/>
      <s:c r="CM22" s="79"/>
      <s:c r="CN22" s="26"/>
      <s:c r="CO22" s="80"/>
      <s:c r="CP22" s="76"/>
      <s:c r="CQ22" s="26"/>
      <s:c r="CR22" s="27"/>
      <s:c r="CS22" s="62">
        <s:f>SUMIFS(D22:CR22,$D$3:$CR$3,"З")</s:f>
        <s:v>2</s:v>
      </s:c>
      <s:c r="CT22" s="63">
        <s:f>SUMIFS(D22:CR22,$D$3:$CR$3,"О")</s:f>
        <s:v>0</s:v>
      </s:c>
      <s:c r="CU22" s="63">
        <s:f>SUMIFS(D22:CR22,$D$3:$CR$3,"У")</s:f>
        <s:v>0</s:v>
      </s:c>
      <s:c r="CV22" s="28">
        <s:f>IF(C22="Да",CS22*$D$45+CT22*$D$46+CU22*$D$47,CS22*$C$45+CT22*$C$46+CU22*$C$47)</s:f>
        <s:v>1600</s:v>
      </s:c>
      <s:c r="CW22" s="29">
        <s:f>IF(C22="Нет",CV22,"")</s:f>
        <s:v>1600</s:v>
      </s:c>
      <s:c r="CX22" s="30" t="str">
        <s:f>IF(C22="Да",CV22,"")</s:f>
        <s:v/>
      </s:c>
      <s:c r="CY22" s="30" t="str">
        <s:f>IF(C22="Налич",CV22,"")</s:f>
        <s:v/>
      </s:c>
    </s:row>
    <s:row r="23" ht="21">
      <s:c r="A23" s="23">
        <s:f>IF(B23="","",COUNTA($B$4:B23))</s:f>
        <s:v>20</s:v>
      </s:c>
      <s:c r="B23" s="33" t="s">
        <s:v>89</s:v>
      </s:c>
      <s:c r="C23" s="34" t="s">
        <s:v>18</s:v>
      </s:c>
      <s:c r="D23" s="53"/>
      <s:c r="E23" s="54"/>
      <s:c r="F23" s="74"/>
      <s:c r="G23" s="79"/>
      <s:c r="H23" s="26"/>
      <s:c r="I23" s="80"/>
      <s:c r="J23" s="76"/>
      <s:c r="K23" s="26"/>
      <s:c r="L23" s="27"/>
      <s:c r="M23" s="79"/>
      <s:c r="N23" s="26"/>
      <s:c r="O23" s="80"/>
      <s:c r="P23" s="76"/>
      <s:c r="Q23" s="26">
        <s:v>1.3</s:v>
      </s:c>
      <s:c r="R23" s="27"/>
      <s:c r="S23" s="79"/>
      <s:c r="T23" s="26">
        <s:v>1.7</s:v>
      </s:c>
      <s:c r="U23" s="80"/>
      <s:c r="V23" s="76"/>
      <s:c r="W23" s="26"/>
      <s:c r="X23" s="27"/>
      <s:c r="Y23" s="79"/>
      <s:c r="Z23" s="26"/>
      <s:c r="AA23" s="80"/>
      <s:c r="AB23" s="76"/>
      <s:c r="AC23" s="26"/>
      <s:c r="AD23" s="27"/>
      <s:c r="AE23" s="79"/>
      <s:c r="AF23" s="26"/>
      <s:c r="AG23" s="80"/>
      <s:c r="AH23" s="76"/>
      <s:c r="AI23" s="26"/>
      <s:c r="AJ23" s="27"/>
      <s:c r="AK23" s="79"/>
      <s:c r="AL23" s="26"/>
      <s:c r="AM23" s="80"/>
      <s:c r="AN23" s="76"/>
      <s:c r="AO23" s="26"/>
      <s:c r="AP23" s="27"/>
      <s:c r="AQ23" s="79"/>
      <s:c r="AR23" s="26"/>
      <s:c r="AS23" s="80"/>
      <s:c r="AT23" s="76"/>
      <s:c r="AU23" s="26"/>
      <s:c r="AV23" s="27"/>
      <s:c r="AW23" s="79"/>
      <s:c r="AX23" s="26"/>
      <s:c r="AY23" s="80"/>
      <s:c r="AZ23" s="76"/>
      <s:c r="BA23" s="26"/>
      <s:c r="BB23" s="27"/>
      <s:c r="BC23" s="79"/>
      <s:c r="BD23" s="26"/>
      <s:c r="BE23" s="80"/>
      <s:c r="BF23" s="76"/>
      <s:c r="BG23" s="26"/>
      <s:c r="BH23" s="27"/>
      <s:c r="BI23" s="79"/>
      <s:c r="BJ23" s="26"/>
      <s:c r="BK23" s="80"/>
      <s:c r="BL23" s="76"/>
      <s:c r="BM23" s="26"/>
      <s:c r="BN23" s="27"/>
      <s:c r="BO23" s="79"/>
      <s:c r="BP23" s="26"/>
      <s:c r="BQ23" s="80"/>
      <s:c r="BR23" s="76"/>
      <s:c r="BS23" s="26"/>
      <s:c r="BT23" s="27"/>
      <s:c r="BU23" s="79"/>
      <s:c r="BV23" s="26"/>
      <s:c r="BW23" s="80"/>
      <s:c r="BX23" s="76"/>
      <s:c r="BY23" s="26"/>
      <s:c r="BZ23" s="27"/>
      <s:c r="CA23" s="79"/>
      <s:c r="CB23" s="26"/>
      <s:c r="CC23" s="80"/>
      <s:c r="CD23" s="76"/>
      <s:c r="CE23" s="26"/>
      <s:c r="CF23" s="27"/>
      <s:c r="CG23" s="79"/>
      <s:c r="CH23" s="26"/>
      <s:c r="CI23" s="80"/>
      <s:c r="CJ23" s="76"/>
      <s:c r="CK23" s="26"/>
      <s:c r="CL23" s="27"/>
      <s:c r="CM23" s="79"/>
      <s:c r="CN23" s="26"/>
      <s:c r="CO23" s="80"/>
      <s:c r="CP23" s="76"/>
      <s:c r="CQ23" s="26"/>
      <s:c r="CR23" s="27"/>
      <s:c r="CS23" s="62">
        <s:f>SUMIFS(D23:CR23,$D$3:$CR$3,"З")</s:f>
        <s:v>0</s:v>
      </s:c>
      <s:c r="CT23" s="63">
        <s:f>SUMIFS(D23:CR23,$D$3:$CR$3,"О")</s:f>
        <s:v>3</s:v>
      </s:c>
      <s:c r="CU23" s="63">
        <s:f>SUMIFS(D23:CR23,$D$3:$CR$3,"У")</s:f>
        <s:v>0</s:v>
      </s:c>
      <s:c r="CV23" s="28">
        <s:f>IF(C23="Да",CS23*$D$45+CT23*$D$46+CU23*$D$47,CS23*$C$45+CT23*$C$46+CU23*$C$47)</s:f>
        <s:v>3000</s:v>
      </s:c>
      <s:c r="CW23" s="29">
        <s:f>IF(C23="Нет",CV23,"")</s:f>
        <s:v>3000</s:v>
      </s:c>
      <s:c r="CX23" s="30" t="str">
        <s:f>IF(C23="Да",CV23,"")</s:f>
        <s:v/>
      </s:c>
      <s:c r="CY23" s="30" t="str">
        <s:f>IF(C23="Налич",CV23,"")</s:f>
        <s:v/>
      </s:c>
    </s:row>
    <s:row r="24" ht="21">
      <s:c r="A24" s="23" t="str">
        <s:f>IF(B24="","",COUNTA($B$4:B24))</s:f>
        <s:v/>
      </s:c>
      <s:c r="B24" s="33"/>
      <s:c r="C24" s="34"/>
      <s:c r="D24" s="53"/>
      <s:c r="E24" s="54"/>
      <s:c r="F24" s="74"/>
      <s:c r="G24" s="79"/>
      <s:c r="H24" s="26"/>
      <s:c r="I24" s="80"/>
      <s:c r="J24" s="76"/>
      <s:c r="K24" s="26"/>
      <s:c r="L24" s="27"/>
      <s:c r="M24" s="79"/>
      <s:c r="N24" s="26"/>
      <s:c r="O24" s="80"/>
      <s:c r="P24" s="76"/>
      <s:c r="Q24" s="26"/>
      <s:c r="R24" s="27"/>
      <s:c r="S24" s="79"/>
      <s:c r="T24" s="26"/>
      <s:c r="U24" s="80"/>
      <s:c r="V24" s="76"/>
      <s:c r="W24" s="26"/>
      <s:c r="X24" s="27"/>
      <s:c r="Y24" s="79"/>
      <s:c r="Z24" s="26"/>
      <s:c r="AA24" s="80"/>
      <s:c r="AB24" s="76"/>
      <s:c r="AC24" s="26"/>
      <s:c r="AD24" s="27"/>
      <s:c r="AE24" s="79"/>
      <s:c r="AF24" s="26"/>
      <s:c r="AG24" s="80"/>
      <s:c r="AH24" s="76"/>
      <s:c r="AI24" s="26"/>
      <s:c r="AJ24" s="27"/>
      <s:c r="AK24" s="79"/>
      <s:c r="AL24" s="26"/>
      <s:c r="AM24" s="80"/>
      <s:c r="AN24" s="76"/>
      <s:c r="AO24" s="26"/>
      <s:c r="AP24" s="27"/>
      <s:c r="AQ24" s="79"/>
      <s:c r="AR24" s="26"/>
      <s:c r="AS24" s="80"/>
      <s:c r="AT24" s="76"/>
      <s:c r="AU24" s="26"/>
      <s:c r="AV24" s="27"/>
      <s:c r="AW24" s="79"/>
      <s:c r="AX24" s="26"/>
      <s:c r="AY24" s="80"/>
      <s:c r="AZ24" s="76"/>
      <s:c r="BA24" s="26"/>
      <s:c r="BB24" s="27"/>
      <s:c r="BC24" s="79"/>
      <s:c r="BD24" s="26"/>
      <s:c r="BE24" s="80"/>
      <s:c r="BF24" s="76"/>
      <s:c r="BG24" s="26"/>
      <s:c r="BH24" s="27"/>
      <s:c r="BI24" s="79"/>
      <s:c r="BJ24" s="26"/>
      <s:c r="BK24" s="80"/>
      <s:c r="BL24" s="76"/>
      <s:c r="BM24" s="26"/>
      <s:c r="BN24" s="27"/>
      <s:c r="BO24" s="79"/>
      <s:c r="BP24" s="26"/>
      <s:c r="BQ24" s="80"/>
      <s:c r="BR24" s="76"/>
      <s:c r="BS24" s="26"/>
      <s:c r="BT24" s="27"/>
      <s:c r="BU24" s="79"/>
      <s:c r="BV24" s="26"/>
      <s:c r="BW24" s="80"/>
      <s:c r="BX24" s="76"/>
      <s:c r="BY24" s="26"/>
      <s:c r="BZ24" s="27"/>
      <s:c r="CA24" s="79"/>
      <s:c r="CB24" s="26"/>
      <s:c r="CC24" s="80"/>
      <s:c r="CD24" s="76"/>
      <s:c r="CE24" s="26"/>
      <s:c r="CF24" s="27"/>
      <s:c r="CG24" s="79"/>
      <s:c r="CH24" s="26"/>
      <s:c r="CI24" s="80"/>
      <s:c r="CJ24" s="76"/>
      <s:c r="CK24" s="26"/>
      <s:c r="CL24" s="27"/>
      <s:c r="CM24" s="79"/>
      <s:c r="CN24" s="26"/>
      <s:c r="CO24" s="80"/>
      <s:c r="CP24" s="76"/>
      <s:c r="CQ24" s="26"/>
      <s:c r="CR24" s="27"/>
      <s:c r="CS24" s="62">
        <s:f>SUMIFS(D24:CR24,$D$3:$CR$3,"З")</s:f>
        <s:v>0</s:v>
      </s:c>
      <s:c r="CT24" s="63">
        <s:f>SUMIFS(D24:CR24,$D$3:$CR$3,"О")</s:f>
        <s:v>0</s:v>
      </s:c>
      <s:c r="CU24" s="63">
        <s:f>SUMIFS(D24:CR24,$D$3:$CR$3,"У")</s:f>
        <s:v>0</s:v>
      </s:c>
      <s:c r="CV24" s="28">
        <s:f>IF(C24="Да",CS24*$D$45+CT24*$D$46+CU24*$D$47,CS24*$C$45+CT24*$C$46+CU24*$C$47)</s:f>
        <s:v>0</s:v>
      </s:c>
      <s:c r="CW24" s="29" t="str">
        <s:f>IF(C24="Нет",CV24,"")</s:f>
        <s:v/>
      </s:c>
      <s:c r="CX24" s="30" t="str">
        <s:f>IF(C24="Да",CV24,"")</s:f>
        <s:v/>
      </s:c>
      <s:c r="CY24" s="30" t="str">
        <s:f>IF(C24="Налич",CV24,"")</s:f>
        <s:v/>
      </s:c>
    </s:row>
    <s:row r="25" ht="21">
      <s:c r="A25" s="23" t="str">
        <s:f>IF(B25="","",COUNTA($B$4:B25))</s:f>
        <s:v/>
      </s:c>
      <s:c r="B25" s="24"/>
      <s:c r="C25" s="25"/>
      <s:c r="D25" s="49"/>
      <s:c r="E25" s="50"/>
      <s:c r="F25" s="74"/>
      <s:c r="G25" s="79"/>
      <s:c r="H25" s="26"/>
      <s:c r="I25" s="80"/>
      <s:c r="J25" s="76"/>
      <s:c r="K25" s="26"/>
      <s:c r="L25" s="27"/>
      <s:c r="M25" s="79"/>
      <s:c r="N25" s="26"/>
      <s:c r="O25" s="80"/>
      <s:c r="P25" s="76"/>
      <s:c r="Q25" s="26"/>
      <s:c r="R25" s="27"/>
      <s:c r="S25" s="79"/>
      <s:c r="T25" s="26"/>
      <s:c r="U25" s="80"/>
      <s:c r="V25" s="76"/>
      <s:c r="W25" s="26"/>
      <s:c r="X25" s="27"/>
      <s:c r="Y25" s="79"/>
      <s:c r="Z25" s="26"/>
      <s:c r="AA25" s="80"/>
      <s:c r="AB25" s="76"/>
      <s:c r="AC25" s="26"/>
      <s:c r="AD25" s="27"/>
      <s:c r="AE25" s="79"/>
      <s:c r="AF25" s="26"/>
      <s:c r="AG25" s="80"/>
      <s:c r="AH25" s="76"/>
      <s:c r="AI25" s="26"/>
      <s:c r="AJ25" s="27"/>
      <s:c r="AK25" s="79"/>
      <s:c r="AL25" s="26"/>
      <s:c r="AM25" s="80"/>
      <s:c r="AN25" s="76"/>
      <s:c r="AO25" s="26"/>
      <s:c r="AP25" s="27"/>
      <s:c r="AQ25" s="79"/>
      <s:c r="AR25" s="26"/>
      <s:c r="AS25" s="80"/>
      <s:c r="AT25" s="76"/>
      <s:c r="AU25" s="26"/>
      <s:c r="AV25" s="27"/>
      <s:c r="AW25" s="79"/>
      <s:c r="AX25" s="26"/>
      <s:c r="AY25" s="80"/>
      <s:c r="AZ25" s="76"/>
      <s:c r="BA25" s="26"/>
      <s:c r="BB25" s="27"/>
      <s:c r="BC25" s="79"/>
      <s:c r="BD25" s="26"/>
      <s:c r="BE25" s="80"/>
      <s:c r="BF25" s="76"/>
      <s:c r="BG25" s="26"/>
      <s:c r="BH25" s="27"/>
      <s:c r="BI25" s="79"/>
      <s:c r="BJ25" s="26"/>
      <s:c r="BK25" s="80"/>
      <s:c r="BL25" s="76"/>
      <s:c r="BM25" s="26"/>
      <s:c r="BN25" s="27"/>
      <s:c r="BO25" s="79"/>
      <s:c r="BP25" s="26"/>
      <s:c r="BQ25" s="80"/>
      <s:c r="BR25" s="76"/>
      <s:c r="BS25" s="26"/>
      <s:c r="BT25" s="27"/>
      <s:c r="BU25" s="79"/>
      <s:c r="BV25" s="26"/>
      <s:c r="BW25" s="80"/>
      <s:c r="BX25" s="76"/>
      <s:c r="BY25" s="26"/>
      <s:c r="BZ25" s="27"/>
      <s:c r="CA25" s="79"/>
      <s:c r="CB25" s="26"/>
      <s:c r="CC25" s="80"/>
      <s:c r="CD25" s="76"/>
      <s:c r="CE25" s="26"/>
      <s:c r="CF25" s="27"/>
      <s:c r="CG25" s="79"/>
      <s:c r="CH25" s="26"/>
      <s:c r="CI25" s="80"/>
      <s:c r="CJ25" s="76"/>
      <s:c r="CK25" s="26"/>
      <s:c r="CL25" s="27"/>
      <s:c r="CM25" s="79"/>
      <s:c r="CN25" s="26"/>
      <s:c r="CO25" s="80"/>
      <s:c r="CP25" s="76"/>
      <s:c r="CQ25" s="26"/>
      <s:c r="CR25" s="27"/>
      <s:c r="CS25" s="62">
        <s:f>SUMIFS(D25:CR25,$D$3:$CR$3,"З")</s:f>
        <s:v>0</s:v>
      </s:c>
      <s:c r="CT25" s="63">
        <s:f>SUMIFS(D25:CR25,$D$3:$CR$3,"О")</s:f>
        <s:v>0</s:v>
      </s:c>
      <s:c r="CU25" s="63">
        <s:f>SUMIFS(D25:CR25,$D$3:$CR$3,"У")</s:f>
        <s:v>0</s:v>
      </s:c>
      <s:c r="CV25" s="28">
        <s:f>IF(C25="Да",CS25*$D$45+CT25*$D$46+CU25*$D$47,CS25*$C$45+CT25*$C$46+CU25*$C$47)</s:f>
        <s:v>0</s:v>
      </s:c>
      <s:c r="CW25" s="29" t="str">
        <s:f>IF(C25="Нет",CV25,"")</s:f>
        <s:v/>
      </s:c>
      <s:c r="CX25" s="30" t="str">
        <s:f>IF(C25="Да",CV25,"")</s:f>
        <s:v/>
      </s:c>
      <s:c r="CY25" s="30" t="str">
        <s:f>IF(C25="Налич",CV25,"")</s:f>
        <s:v/>
      </s:c>
    </s:row>
    <s:row r="26" ht="21">
      <s:c r="A26" s="23" t="str">
        <s:f>IF(B26="","",COUNTA($B$4:B26))</s:f>
        <s:v/>
      </s:c>
      <s:c r="B26" s="24"/>
      <s:c r="C26" s="25"/>
      <s:c r="D26" s="49"/>
      <s:c r="E26" s="50"/>
      <s:c r="F26" s="74"/>
      <s:c r="G26" s="79"/>
      <s:c r="H26" s="26"/>
      <s:c r="I26" s="80"/>
      <s:c r="J26" s="76"/>
      <s:c r="K26" s="26"/>
      <s:c r="L26" s="27"/>
      <s:c r="M26" s="79"/>
      <s:c r="N26" s="26"/>
      <s:c r="O26" s="80"/>
      <s:c r="P26" s="76"/>
      <s:c r="Q26" s="26"/>
      <s:c r="R26" s="27"/>
      <s:c r="S26" s="79"/>
      <s:c r="T26" s="26"/>
      <s:c r="U26" s="80"/>
      <s:c r="V26" s="76"/>
      <s:c r="W26" s="26"/>
      <s:c r="X26" s="27"/>
      <s:c r="Y26" s="79"/>
      <s:c r="Z26" s="26"/>
      <s:c r="AA26" s="80"/>
      <s:c r="AB26" s="76"/>
      <s:c r="AC26" s="26"/>
      <s:c r="AD26" s="27"/>
      <s:c r="AE26" s="79"/>
      <s:c r="AF26" s="26"/>
      <s:c r="AG26" s="80"/>
      <s:c r="AH26" s="76"/>
      <s:c r="AI26" s="26"/>
      <s:c r="AJ26" s="27"/>
      <s:c r="AK26" s="79"/>
      <s:c r="AL26" s="26"/>
      <s:c r="AM26" s="80"/>
      <s:c r="AN26" s="76"/>
      <s:c r="AO26" s="26"/>
      <s:c r="AP26" s="27"/>
      <s:c r="AQ26" s="79"/>
      <s:c r="AR26" s="26"/>
      <s:c r="AS26" s="80"/>
      <s:c r="AT26" s="76"/>
      <s:c r="AU26" s="26"/>
      <s:c r="AV26" s="27"/>
      <s:c r="AW26" s="79"/>
      <s:c r="AX26" s="26"/>
      <s:c r="AY26" s="80"/>
      <s:c r="AZ26" s="76"/>
      <s:c r="BA26" s="26"/>
      <s:c r="BB26" s="27"/>
      <s:c r="BC26" s="79"/>
      <s:c r="BD26" s="26"/>
      <s:c r="BE26" s="80"/>
      <s:c r="BF26" s="76"/>
      <s:c r="BG26" s="26"/>
      <s:c r="BH26" s="27"/>
      <s:c r="BI26" s="79"/>
      <s:c r="BJ26" s="26"/>
      <s:c r="BK26" s="80"/>
      <s:c r="BL26" s="76"/>
      <s:c r="BM26" s="26"/>
      <s:c r="BN26" s="27"/>
      <s:c r="BO26" s="79"/>
      <s:c r="BP26" s="26"/>
      <s:c r="BQ26" s="80"/>
      <s:c r="BR26" s="76"/>
      <s:c r="BS26" s="26"/>
      <s:c r="BT26" s="27"/>
      <s:c r="BU26" s="79"/>
      <s:c r="BV26" s="26"/>
      <s:c r="BW26" s="80"/>
      <s:c r="BX26" s="76"/>
      <s:c r="BY26" s="26"/>
      <s:c r="BZ26" s="27"/>
      <s:c r="CA26" s="79"/>
      <s:c r="CB26" s="26"/>
      <s:c r="CC26" s="80"/>
      <s:c r="CD26" s="76"/>
      <s:c r="CE26" s="26"/>
      <s:c r="CF26" s="27"/>
      <s:c r="CG26" s="79"/>
      <s:c r="CH26" s="26"/>
      <s:c r="CI26" s="80"/>
      <s:c r="CJ26" s="76"/>
      <s:c r="CK26" s="26"/>
      <s:c r="CL26" s="27"/>
      <s:c r="CM26" s="79"/>
      <s:c r="CN26" s="26"/>
      <s:c r="CO26" s="80"/>
      <s:c r="CP26" s="76"/>
      <s:c r="CQ26" s="26"/>
      <s:c r="CR26" s="27"/>
      <s:c r="CS26" s="62">
        <s:f>SUMIFS(D26:CR26,$D$3:$CR$3,"З")</s:f>
        <s:v>0</s:v>
      </s:c>
      <s:c r="CT26" s="63">
        <s:f>SUMIFS(D26:CR26,$D$3:$CR$3,"О")</s:f>
        <s:v>0</s:v>
      </s:c>
      <s:c r="CU26" s="63">
        <s:f>SUMIFS(D26:CR26,$D$3:$CR$3,"У")</s:f>
        <s:v>0</s:v>
      </s:c>
      <s:c r="CV26" s="28">
        <s:f>IF(C26="Да",CS26*$D$45+CT26*$D$46+CU26*$D$47,CS26*$C$45+CT26*$C$46+CU26*$C$47)</s:f>
        <s:v>0</s:v>
      </s:c>
      <s:c r="CW26" s="29" t="str">
        <s:f>IF(C26="Нет",CV26,"")</s:f>
        <s:v/>
      </s:c>
      <s:c r="CX26" s="30" t="str">
        <s:f>IF(C26="Да",CV26,"")</s:f>
        <s:v/>
      </s:c>
      <s:c r="CY26" s="30" t="str">
        <s:f>IF(C26="Налич",CV26,"")</s:f>
        <s:v/>
      </s:c>
    </s:row>
    <s:row r="27" ht="21">
      <s:c r="A27" s="23" t="str">
        <s:f>IF(B27="","",COUNTA($B$4:B27))</s:f>
        <s:v/>
      </s:c>
      <s:c r="B27" s="24"/>
      <s:c r="C27" s="25"/>
      <s:c r="D27" s="49"/>
      <s:c r="E27" s="50"/>
      <s:c r="F27" s="74"/>
      <s:c r="G27" s="79"/>
      <s:c r="H27" s="26"/>
      <s:c r="I27" s="80"/>
      <s:c r="J27" s="76"/>
      <s:c r="K27" s="26"/>
      <s:c r="L27" s="27"/>
      <s:c r="M27" s="79"/>
      <s:c r="N27" s="26"/>
      <s:c r="O27" s="80"/>
      <s:c r="P27" s="76"/>
      <s:c r="Q27" s="26"/>
      <s:c r="R27" s="27"/>
      <s:c r="S27" s="79"/>
      <s:c r="T27" s="26"/>
      <s:c r="U27" s="80"/>
      <s:c r="V27" s="76"/>
      <s:c r="W27" s="26"/>
      <s:c r="X27" s="27"/>
      <s:c r="Y27" s="79"/>
      <s:c r="Z27" s="26"/>
      <s:c r="AA27" s="80"/>
      <s:c r="AB27" s="76"/>
      <s:c r="AC27" s="26"/>
      <s:c r="AD27" s="27"/>
      <s:c r="AE27" s="79"/>
      <s:c r="AF27" s="26"/>
      <s:c r="AG27" s="80"/>
      <s:c r="AH27" s="76"/>
      <s:c r="AI27" s="26"/>
      <s:c r="AJ27" s="27"/>
      <s:c r="AK27" s="79"/>
      <s:c r="AL27" s="26"/>
      <s:c r="AM27" s="80"/>
      <s:c r="AN27" s="76"/>
      <s:c r="AO27" s="26"/>
      <s:c r="AP27" s="27"/>
      <s:c r="AQ27" s="79"/>
      <s:c r="AR27" s="26"/>
      <s:c r="AS27" s="80"/>
      <s:c r="AT27" s="76"/>
      <s:c r="AU27" s="26"/>
      <s:c r="AV27" s="27"/>
      <s:c r="AW27" s="79"/>
      <s:c r="AX27" s="26"/>
      <s:c r="AY27" s="80"/>
      <s:c r="AZ27" s="76"/>
      <s:c r="BA27" s="26"/>
      <s:c r="BB27" s="27"/>
      <s:c r="BC27" s="79"/>
      <s:c r="BD27" s="26"/>
      <s:c r="BE27" s="80"/>
      <s:c r="BF27" s="76"/>
      <s:c r="BG27" s="26"/>
      <s:c r="BH27" s="27"/>
      <s:c r="BI27" s="79"/>
      <s:c r="BJ27" s="26"/>
      <s:c r="BK27" s="80"/>
      <s:c r="BL27" s="76"/>
      <s:c r="BM27" s="26"/>
      <s:c r="BN27" s="27"/>
      <s:c r="BO27" s="79"/>
      <s:c r="BP27" s="26"/>
      <s:c r="BQ27" s="80"/>
      <s:c r="BR27" s="76"/>
      <s:c r="BS27" s="26"/>
      <s:c r="BT27" s="27"/>
      <s:c r="BU27" s="79"/>
      <s:c r="BV27" s="26"/>
      <s:c r="BW27" s="80"/>
      <s:c r="BX27" s="76"/>
      <s:c r="BY27" s="26"/>
      <s:c r="BZ27" s="27"/>
      <s:c r="CA27" s="79"/>
      <s:c r="CB27" s="26"/>
      <s:c r="CC27" s="80"/>
      <s:c r="CD27" s="76"/>
      <s:c r="CE27" s="26"/>
      <s:c r="CF27" s="27"/>
      <s:c r="CG27" s="79"/>
      <s:c r="CH27" s="26"/>
      <s:c r="CI27" s="80"/>
      <s:c r="CJ27" s="76"/>
      <s:c r="CK27" s="26"/>
      <s:c r="CL27" s="27"/>
      <s:c r="CM27" s="79"/>
      <s:c r="CN27" s="26"/>
      <s:c r="CO27" s="80"/>
      <s:c r="CP27" s="76"/>
      <s:c r="CQ27" s="26"/>
      <s:c r="CR27" s="27"/>
      <s:c r="CS27" s="62">
        <s:f>SUMIFS(D27:CR27,$D$3:$CR$3,"З")</s:f>
        <s:v>0</s:v>
      </s:c>
      <s:c r="CT27" s="63">
        <s:f>SUMIFS(D27:CR27,$D$3:$CR$3,"О")</s:f>
        <s:v>0</s:v>
      </s:c>
      <s:c r="CU27" s="63">
        <s:f>SUMIFS(D27:CR27,$D$3:$CR$3,"У")</s:f>
        <s:v>0</s:v>
      </s:c>
      <s:c r="CV27" s="28">
        <s:f>IF(C27="Да",CS27*$D$45+CT27*$D$46+CU27*$D$47,CS27*$C$45+CT27*$C$46+CU27*$C$47)</s:f>
        <s:v>0</s:v>
      </s:c>
      <s:c r="CW27" s="29" t="str">
        <s:f>IF(C27="Нет",CV27,"")</s:f>
        <s:v/>
      </s:c>
      <s:c r="CX27" s="30" t="str">
        <s:f>IF(C27="Да",CV27,"")</s:f>
        <s:v/>
      </s:c>
      <s:c r="CY27" s="30" t="str">
        <s:f>IF(C27="Налич",CV27,"")</s:f>
        <s:v/>
      </s:c>
    </s:row>
    <s:row r="28" ht="21">
      <s:c r="A28" s="23" t="str">
        <s:f>IF(B28="","",COUNTA($B$4:B28))</s:f>
        <s:v/>
      </s:c>
      <s:c r="B28" s="24"/>
      <s:c r="C28" s="25"/>
      <s:c r="D28" s="49"/>
      <s:c r="E28" s="50"/>
      <s:c r="F28" s="74"/>
      <s:c r="G28" s="79"/>
      <s:c r="H28" s="26"/>
      <s:c r="I28" s="80"/>
      <s:c r="J28" s="76"/>
      <s:c r="K28" s="26"/>
      <s:c r="L28" s="27"/>
      <s:c r="M28" s="79"/>
      <s:c r="N28" s="26"/>
      <s:c r="O28" s="80"/>
      <s:c r="P28" s="76"/>
      <s:c r="Q28" s="26"/>
      <s:c r="R28" s="27"/>
      <s:c r="S28" s="79"/>
      <s:c r="T28" s="26"/>
      <s:c r="U28" s="80"/>
      <s:c r="V28" s="76"/>
      <s:c r="W28" s="26"/>
      <s:c r="X28" s="27"/>
      <s:c r="Y28" s="79"/>
      <s:c r="Z28" s="26"/>
      <s:c r="AA28" s="80"/>
      <s:c r="AB28" s="76"/>
      <s:c r="AC28" s="26"/>
      <s:c r="AD28" s="27"/>
      <s:c r="AE28" s="79"/>
      <s:c r="AF28" s="26"/>
      <s:c r="AG28" s="80"/>
      <s:c r="AH28" s="76"/>
      <s:c r="AI28" s="26"/>
      <s:c r="AJ28" s="27"/>
      <s:c r="AK28" s="79"/>
      <s:c r="AL28" s="26"/>
      <s:c r="AM28" s="80"/>
      <s:c r="AN28" s="76"/>
      <s:c r="AO28" s="26"/>
      <s:c r="AP28" s="27"/>
      <s:c r="AQ28" s="79"/>
      <s:c r="AR28" s="26"/>
      <s:c r="AS28" s="80"/>
      <s:c r="AT28" s="76"/>
      <s:c r="AU28" s="26"/>
      <s:c r="AV28" s="27"/>
      <s:c r="AW28" s="79"/>
      <s:c r="AX28" s="26"/>
      <s:c r="AY28" s="80"/>
      <s:c r="AZ28" s="76"/>
      <s:c r="BA28" s="26"/>
      <s:c r="BB28" s="27"/>
      <s:c r="BC28" s="79"/>
      <s:c r="BD28" s="26"/>
      <s:c r="BE28" s="80"/>
      <s:c r="BF28" s="76"/>
      <s:c r="BG28" s="26"/>
      <s:c r="BH28" s="27"/>
      <s:c r="BI28" s="79"/>
      <s:c r="BJ28" s="26"/>
      <s:c r="BK28" s="80"/>
      <s:c r="BL28" s="76"/>
      <s:c r="BM28" s="26"/>
      <s:c r="BN28" s="27"/>
      <s:c r="BO28" s="79"/>
      <s:c r="BP28" s="26"/>
      <s:c r="BQ28" s="80"/>
      <s:c r="BR28" s="76"/>
      <s:c r="BS28" s="26"/>
      <s:c r="BT28" s="27"/>
      <s:c r="BU28" s="79"/>
      <s:c r="BV28" s="26"/>
      <s:c r="BW28" s="80"/>
      <s:c r="BX28" s="76"/>
      <s:c r="BY28" s="26"/>
      <s:c r="BZ28" s="27"/>
      <s:c r="CA28" s="79"/>
      <s:c r="CB28" s="26"/>
      <s:c r="CC28" s="80"/>
      <s:c r="CD28" s="76"/>
      <s:c r="CE28" s="26"/>
      <s:c r="CF28" s="27"/>
      <s:c r="CG28" s="79"/>
      <s:c r="CH28" s="26"/>
      <s:c r="CI28" s="80"/>
      <s:c r="CJ28" s="76"/>
      <s:c r="CK28" s="26"/>
      <s:c r="CL28" s="27"/>
      <s:c r="CM28" s="79"/>
      <s:c r="CN28" s="26"/>
      <s:c r="CO28" s="80"/>
      <s:c r="CP28" s="76"/>
      <s:c r="CQ28" s="26"/>
      <s:c r="CR28" s="27"/>
      <s:c r="CS28" s="62">
        <s:f>SUMIFS(D28:CR28,$D$3:$CR$3,"З")</s:f>
        <s:v>0</s:v>
      </s:c>
      <s:c r="CT28" s="63">
        <s:f>SUMIFS(D28:CR28,$D$3:$CR$3,"О")</s:f>
        <s:v>0</s:v>
      </s:c>
      <s:c r="CU28" s="63">
        <s:f>SUMIFS(D28:CR28,$D$3:$CR$3,"У")</s:f>
        <s:v>0</s:v>
      </s:c>
      <s:c r="CV28" s="28">
        <s:f>IF(C28="Да",CS28*$D$45+CT28*$D$46+CU28*$D$47,CS28*$C$45+CT28*$C$46+CU28*$C$47)</s:f>
        <s:v>0</s:v>
      </s:c>
      <s:c r="CW28" s="29" t="str">
        <s:f>IF(C28="Нет",CV28,"")</s:f>
        <s:v/>
      </s:c>
      <s:c r="CX28" s="30" t="str">
        <s:f>IF(C28="Да",CV28,"")</s:f>
        <s:v/>
      </s:c>
      <s:c r="CY28" s="30" t="str">
        <s:f>IF(C28="Налич",CV28,"")</s:f>
        <s:v/>
      </s:c>
    </s:row>
    <s:row r="29" ht="21">
      <s:c r="A29" s="23" t="str">
        <s:f>IF(B29="","",COUNTA($B$4:B29))</s:f>
        <s:v/>
      </s:c>
      <s:c r="B29" s="24"/>
      <s:c r="C29" s="25"/>
      <s:c r="D29" s="49"/>
      <s:c r="E29" s="50"/>
      <s:c r="F29" s="74"/>
      <s:c r="G29" s="79"/>
      <s:c r="H29" s="26"/>
      <s:c r="I29" s="80"/>
      <s:c r="J29" s="76"/>
      <s:c r="K29" s="26"/>
      <s:c r="L29" s="27"/>
      <s:c r="M29" s="79"/>
      <s:c r="N29" s="26"/>
      <s:c r="O29" s="80"/>
      <s:c r="P29" s="76"/>
      <s:c r="Q29" s="26"/>
      <s:c r="R29" s="27"/>
      <s:c r="S29" s="79"/>
      <s:c r="T29" s="26"/>
      <s:c r="U29" s="80"/>
      <s:c r="V29" s="76"/>
      <s:c r="W29" s="26"/>
      <s:c r="X29" s="27"/>
      <s:c r="Y29" s="79"/>
      <s:c r="Z29" s="26"/>
      <s:c r="AA29" s="80"/>
      <s:c r="AB29" s="76"/>
      <s:c r="AC29" s="26"/>
      <s:c r="AD29" s="27"/>
      <s:c r="AE29" s="79"/>
      <s:c r="AF29" s="26"/>
      <s:c r="AG29" s="80"/>
      <s:c r="AH29" s="76"/>
      <s:c r="AI29" s="26"/>
      <s:c r="AJ29" s="27"/>
      <s:c r="AK29" s="79"/>
      <s:c r="AL29" s="26"/>
      <s:c r="AM29" s="80"/>
      <s:c r="AN29" s="76"/>
      <s:c r="AO29" s="26"/>
      <s:c r="AP29" s="27"/>
      <s:c r="AQ29" s="79"/>
      <s:c r="AR29" s="26"/>
      <s:c r="AS29" s="80"/>
      <s:c r="AT29" s="76"/>
      <s:c r="AU29" s="26"/>
      <s:c r="AV29" s="27"/>
      <s:c r="AW29" s="79"/>
      <s:c r="AX29" s="26"/>
      <s:c r="AY29" s="80"/>
      <s:c r="AZ29" s="76"/>
      <s:c r="BA29" s="26"/>
      <s:c r="BB29" s="27"/>
      <s:c r="BC29" s="79"/>
      <s:c r="BD29" s="26"/>
      <s:c r="BE29" s="80"/>
      <s:c r="BF29" s="76"/>
      <s:c r="BG29" s="26"/>
      <s:c r="BH29" s="27"/>
      <s:c r="BI29" s="79"/>
      <s:c r="BJ29" s="26"/>
      <s:c r="BK29" s="80"/>
      <s:c r="BL29" s="76"/>
      <s:c r="BM29" s="26"/>
      <s:c r="BN29" s="27"/>
      <s:c r="BO29" s="79"/>
      <s:c r="BP29" s="26"/>
      <s:c r="BQ29" s="80"/>
      <s:c r="BR29" s="76"/>
      <s:c r="BS29" s="26"/>
      <s:c r="BT29" s="27"/>
      <s:c r="BU29" s="79"/>
      <s:c r="BV29" s="26"/>
      <s:c r="BW29" s="80"/>
      <s:c r="BX29" s="76"/>
      <s:c r="BY29" s="26"/>
      <s:c r="BZ29" s="27"/>
      <s:c r="CA29" s="79"/>
      <s:c r="CB29" s="26"/>
      <s:c r="CC29" s="80"/>
      <s:c r="CD29" s="76"/>
      <s:c r="CE29" s="26"/>
      <s:c r="CF29" s="27"/>
      <s:c r="CG29" s="79"/>
      <s:c r="CH29" s="26"/>
      <s:c r="CI29" s="80"/>
      <s:c r="CJ29" s="76"/>
      <s:c r="CK29" s="26"/>
      <s:c r="CL29" s="27"/>
      <s:c r="CM29" s="79"/>
      <s:c r="CN29" s="26"/>
      <s:c r="CO29" s="80"/>
      <s:c r="CP29" s="76"/>
      <s:c r="CQ29" s="26"/>
      <s:c r="CR29" s="27"/>
      <s:c r="CS29" s="62">
        <s:f>SUMIFS(D29:CR29,$D$3:$CR$3,"З")</s:f>
        <s:v>0</s:v>
      </s:c>
      <s:c r="CT29" s="63">
        <s:f>SUMIFS(D29:CR29,$D$3:$CR$3,"О")</s:f>
        <s:v>0</s:v>
      </s:c>
      <s:c r="CU29" s="63">
        <s:f>SUMIFS(D29:CR29,$D$3:$CR$3,"У")</s:f>
        <s:v>0</s:v>
      </s:c>
      <s:c r="CV29" s="28">
        <s:f>IF(C29="Да",CS29*$D$45+CT29*$D$46+CU29*$D$47,CS29*$C$45+CT29*$C$46+CU29*$C$47)</s:f>
        <s:v>0</s:v>
      </s:c>
      <s:c r="CW29" s="29" t="str">
        <s:f>IF(C29="Нет",CV29,"")</s:f>
        <s:v/>
      </s:c>
      <s:c r="CX29" s="30" t="str">
        <s:f>IF(C29="Да",CV29,"")</s:f>
        <s:v/>
      </s:c>
      <s:c r="CY29" s="30" t="str">
        <s:f>IF(C29="Налич",CV29,"")</s:f>
        <s:v/>
      </s:c>
    </s:row>
    <s:row r="30" ht="21">
      <s:c r="A30" s="23" t="str">
        <s:f>IF(B30="","",COUNTA($B$4:B30))</s:f>
        <s:v/>
      </s:c>
      <s:c r="B30" s="24"/>
      <s:c r="C30" s="25"/>
      <s:c r="D30" s="49"/>
      <s:c r="E30" s="50"/>
      <s:c r="F30" s="74"/>
      <s:c r="G30" s="79"/>
      <s:c r="H30" s="26"/>
      <s:c r="I30" s="80"/>
      <s:c r="J30" s="76"/>
      <s:c r="K30" s="26"/>
      <s:c r="L30" s="27"/>
      <s:c r="M30" s="79"/>
      <s:c r="N30" s="26"/>
      <s:c r="O30" s="80"/>
      <s:c r="P30" s="76"/>
      <s:c r="Q30" s="26"/>
      <s:c r="R30" s="27"/>
      <s:c r="S30" s="79"/>
      <s:c r="T30" s="26"/>
      <s:c r="U30" s="80"/>
      <s:c r="V30" s="76"/>
      <s:c r="W30" s="26"/>
      <s:c r="X30" s="27"/>
      <s:c r="Y30" s="79"/>
      <s:c r="Z30" s="26"/>
      <s:c r="AA30" s="80"/>
      <s:c r="AB30" s="76"/>
      <s:c r="AC30" s="26"/>
      <s:c r="AD30" s="27"/>
      <s:c r="AE30" s="79"/>
      <s:c r="AF30" s="26"/>
      <s:c r="AG30" s="80"/>
      <s:c r="AH30" s="76"/>
      <s:c r="AI30" s="26"/>
      <s:c r="AJ30" s="27"/>
      <s:c r="AK30" s="79"/>
      <s:c r="AL30" s="26"/>
      <s:c r="AM30" s="80"/>
      <s:c r="AN30" s="76"/>
      <s:c r="AO30" s="26"/>
      <s:c r="AP30" s="27"/>
      <s:c r="AQ30" s="79"/>
      <s:c r="AR30" s="26"/>
      <s:c r="AS30" s="80"/>
      <s:c r="AT30" s="76"/>
      <s:c r="AU30" s="26"/>
      <s:c r="AV30" s="27"/>
      <s:c r="AW30" s="79"/>
      <s:c r="AX30" s="26"/>
      <s:c r="AY30" s="80"/>
      <s:c r="AZ30" s="76"/>
      <s:c r="BA30" s="26"/>
      <s:c r="BB30" s="27"/>
      <s:c r="BC30" s="79"/>
      <s:c r="BD30" s="26"/>
      <s:c r="BE30" s="80"/>
      <s:c r="BF30" s="76"/>
      <s:c r="BG30" s="26"/>
      <s:c r="BH30" s="27"/>
      <s:c r="BI30" s="79"/>
      <s:c r="BJ30" s="26"/>
      <s:c r="BK30" s="80"/>
      <s:c r="BL30" s="76"/>
      <s:c r="BM30" s="26"/>
      <s:c r="BN30" s="27"/>
      <s:c r="BO30" s="79"/>
      <s:c r="BP30" s="26"/>
      <s:c r="BQ30" s="80"/>
      <s:c r="BR30" s="76"/>
      <s:c r="BS30" s="26"/>
      <s:c r="BT30" s="27"/>
      <s:c r="BU30" s="79"/>
      <s:c r="BV30" s="26"/>
      <s:c r="BW30" s="80"/>
      <s:c r="BX30" s="76"/>
      <s:c r="BY30" s="26"/>
      <s:c r="BZ30" s="27"/>
      <s:c r="CA30" s="79"/>
      <s:c r="CB30" s="26"/>
      <s:c r="CC30" s="80"/>
      <s:c r="CD30" s="76"/>
      <s:c r="CE30" s="26"/>
      <s:c r="CF30" s="27"/>
      <s:c r="CG30" s="79"/>
      <s:c r="CH30" s="26"/>
      <s:c r="CI30" s="80"/>
      <s:c r="CJ30" s="76"/>
      <s:c r="CK30" s="26"/>
      <s:c r="CL30" s="27"/>
      <s:c r="CM30" s="79"/>
      <s:c r="CN30" s="26"/>
      <s:c r="CO30" s="80"/>
      <s:c r="CP30" s="76"/>
      <s:c r="CQ30" s="26"/>
      <s:c r="CR30" s="27"/>
      <s:c r="CS30" s="62">
        <s:f>SUMIFS(D30:CR30,$D$3:$CR$3,"З")</s:f>
        <s:v>0</s:v>
      </s:c>
      <s:c r="CT30" s="63">
        <s:f>SUMIFS(D30:CR30,$D$3:$CR$3,"О")</s:f>
        <s:v>0</s:v>
      </s:c>
      <s:c r="CU30" s="63">
        <s:f>SUMIFS(D30:CR30,$D$3:$CR$3,"У")</s:f>
        <s:v>0</s:v>
      </s:c>
      <s:c r="CV30" s="28">
        <s:f>IF(C30="Да",CS30*$D$45+CT30*$D$46+CU30*$D$47,CS30*$C$45+CT30*$C$46+CU30*$C$47)</s:f>
        <s:v>0</s:v>
      </s:c>
      <s:c r="CW30" s="29" t="str">
        <s:f>IF(C30="Нет",CV30,"")</s:f>
        <s:v/>
      </s:c>
      <s:c r="CX30" s="30" t="str">
        <s:f>IF(C30="Да",CV30,"")</s:f>
        <s:v/>
      </s:c>
      <s:c r="CY30" s="30" t="str">
        <s:f>IF(C30="Налич",CV30,"")</s:f>
        <s:v/>
      </s:c>
    </s:row>
    <s:row r="31" ht="21">
      <s:c r="A31" s="23" t="str">
        <s:f>IF(B31="","",COUNTA($B$4:B31))</s:f>
        <s:v/>
      </s:c>
      <s:c r="B31" s="33"/>
      <s:c r="C31" s="34"/>
      <s:c r="D31" s="53"/>
      <s:c r="E31" s="54"/>
      <s:c r="F31" s="74"/>
      <s:c r="G31" s="79"/>
      <s:c r="H31" s="26"/>
      <s:c r="I31" s="80"/>
      <s:c r="J31" s="76"/>
      <s:c r="K31" s="26"/>
      <s:c r="L31" s="27"/>
      <s:c r="M31" s="79"/>
      <s:c r="N31" s="26"/>
      <s:c r="O31" s="80"/>
      <s:c r="P31" s="76"/>
      <s:c r="Q31" s="26"/>
      <s:c r="R31" s="27"/>
      <s:c r="S31" s="79"/>
      <s:c r="T31" s="26"/>
      <s:c r="U31" s="80"/>
      <s:c r="V31" s="76"/>
      <s:c r="W31" s="26"/>
      <s:c r="X31" s="27"/>
      <s:c r="Y31" s="79"/>
      <s:c r="Z31" s="26"/>
      <s:c r="AA31" s="80"/>
      <s:c r="AB31" s="76"/>
      <s:c r="AC31" s="26"/>
      <s:c r="AD31" s="27"/>
      <s:c r="AE31" s="79"/>
      <s:c r="AF31" s="26"/>
      <s:c r="AG31" s="80"/>
      <s:c r="AH31" s="76"/>
      <s:c r="AI31" s="26"/>
      <s:c r="AJ31" s="27"/>
      <s:c r="AK31" s="79"/>
      <s:c r="AL31" s="26"/>
      <s:c r="AM31" s="80"/>
      <s:c r="AN31" s="76"/>
      <s:c r="AO31" s="26"/>
      <s:c r="AP31" s="27"/>
      <s:c r="AQ31" s="79"/>
      <s:c r="AR31" s="26"/>
      <s:c r="AS31" s="80"/>
      <s:c r="AT31" s="76"/>
      <s:c r="AU31" s="26"/>
      <s:c r="AV31" s="27"/>
      <s:c r="AW31" s="79"/>
      <s:c r="AX31" s="26"/>
      <s:c r="AY31" s="80"/>
      <s:c r="AZ31" s="76"/>
      <s:c r="BA31" s="26"/>
      <s:c r="BB31" s="27"/>
      <s:c r="BC31" s="79"/>
      <s:c r="BD31" s="26"/>
      <s:c r="BE31" s="80"/>
      <s:c r="BF31" s="76"/>
      <s:c r="BG31" s="26"/>
      <s:c r="BH31" s="27"/>
      <s:c r="BI31" s="79"/>
      <s:c r="BJ31" s="26"/>
      <s:c r="BK31" s="80"/>
      <s:c r="BL31" s="76"/>
      <s:c r="BM31" s="26"/>
      <s:c r="BN31" s="27"/>
      <s:c r="BO31" s="79"/>
      <s:c r="BP31" s="26"/>
      <s:c r="BQ31" s="80"/>
      <s:c r="BR31" s="76"/>
      <s:c r="BS31" s="26"/>
      <s:c r="BT31" s="27"/>
      <s:c r="BU31" s="79"/>
      <s:c r="BV31" s="26"/>
      <s:c r="BW31" s="80"/>
      <s:c r="BX31" s="76"/>
      <s:c r="BY31" s="26"/>
      <s:c r="BZ31" s="27"/>
      <s:c r="CA31" s="79"/>
      <s:c r="CB31" s="26"/>
      <s:c r="CC31" s="80"/>
      <s:c r="CD31" s="76"/>
      <s:c r="CE31" s="26"/>
      <s:c r="CF31" s="27"/>
      <s:c r="CG31" s="79"/>
      <s:c r="CH31" s="26"/>
      <s:c r="CI31" s="80"/>
      <s:c r="CJ31" s="76"/>
      <s:c r="CK31" s="26"/>
      <s:c r="CL31" s="27"/>
      <s:c r="CM31" s="79"/>
      <s:c r="CN31" s="26"/>
      <s:c r="CO31" s="80"/>
      <s:c r="CP31" s="76"/>
      <s:c r="CQ31" s="26"/>
      <s:c r="CR31" s="27"/>
      <s:c r="CS31" s="62">
        <s:f>SUMIFS(D31:CR31,$D$3:$CR$3,"З")</s:f>
        <s:v>0</s:v>
      </s:c>
      <s:c r="CT31" s="63">
        <s:f>SUMIFS(D31:CR31,$D$3:$CR$3,"О")</s:f>
        <s:v>0</s:v>
      </s:c>
      <s:c r="CU31" s="63">
        <s:f>SUMIFS(D31:CR31,$D$3:$CR$3,"У")</s:f>
        <s:v>0</s:v>
      </s:c>
      <s:c r="CV31" s="28">
        <s:f>IF(C31="Да",CS31*$D$45+CT31*$D$46+CU31*$D$47,CS31*$C$45+CT31*$C$46+CU31*$C$47)</s:f>
        <s:v>0</s:v>
      </s:c>
      <s:c r="CW31" s="29" t="str">
        <s:f>IF(C31="Нет",CV31,"")</s:f>
        <s:v/>
      </s:c>
      <s:c r="CX31" s="30" t="str">
        <s:f>IF(C31="Да",CV31,"")</s:f>
        <s:v/>
      </s:c>
      <s:c r="CY31" s="30" t="str">
        <s:f>IF(C31="Налич",CV31,"")</s:f>
        <s:v/>
      </s:c>
    </s:row>
    <s:row r="32" ht="21">
      <s:c r="A32" s="23" t="str">
        <s:f>IF(B32="","",COUNTA($B$4:B32))</s:f>
        <s:v/>
      </s:c>
      <s:c r="B32" s="35"/>
      <s:c r="C32" s="36"/>
      <s:c r="D32" s="49"/>
      <s:c r="E32" s="50"/>
      <s:c r="F32" s="74"/>
      <s:c r="G32" s="79"/>
      <s:c r="H32" s="26"/>
      <s:c r="I32" s="80"/>
      <s:c r="J32" s="76"/>
      <s:c r="K32" s="26"/>
      <s:c r="L32" s="27"/>
      <s:c r="M32" s="79"/>
      <s:c r="N32" s="26"/>
      <s:c r="O32" s="80"/>
      <s:c r="P32" s="76"/>
      <s:c r="Q32" s="26"/>
      <s:c r="R32" s="27"/>
      <s:c r="S32" s="79"/>
      <s:c r="T32" s="26"/>
      <s:c r="U32" s="80"/>
      <s:c r="V32" s="76"/>
      <s:c r="W32" s="26"/>
      <s:c r="X32" s="27"/>
      <s:c r="Y32" s="79"/>
      <s:c r="Z32" s="26"/>
      <s:c r="AA32" s="80"/>
      <s:c r="AB32" s="76"/>
      <s:c r="AC32" s="26"/>
      <s:c r="AD32" s="27"/>
      <s:c r="AE32" s="79"/>
      <s:c r="AF32" s="26"/>
      <s:c r="AG32" s="80"/>
      <s:c r="AH32" s="76"/>
      <s:c r="AI32" s="26"/>
      <s:c r="AJ32" s="27"/>
      <s:c r="AK32" s="79"/>
      <s:c r="AL32" s="26"/>
      <s:c r="AM32" s="80"/>
      <s:c r="AN32" s="76"/>
      <s:c r="AO32" s="26"/>
      <s:c r="AP32" s="27"/>
      <s:c r="AQ32" s="79"/>
      <s:c r="AR32" s="26"/>
      <s:c r="AS32" s="80"/>
      <s:c r="AT32" s="76"/>
      <s:c r="AU32" s="26"/>
      <s:c r="AV32" s="27"/>
      <s:c r="AW32" s="79"/>
      <s:c r="AX32" s="26"/>
      <s:c r="AY32" s="80"/>
      <s:c r="AZ32" s="76"/>
      <s:c r="BA32" s="26"/>
      <s:c r="BB32" s="27"/>
      <s:c r="BC32" s="79"/>
      <s:c r="BD32" s="26"/>
      <s:c r="BE32" s="80"/>
      <s:c r="BF32" s="76"/>
      <s:c r="BG32" s="26"/>
      <s:c r="BH32" s="27"/>
      <s:c r="BI32" s="79"/>
      <s:c r="BJ32" s="26"/>
      <s:c r="BK32" s="80"/>
      <s:c r="BL32" s="76"/>
      <s:c r="BM32" s="26"/>
      <s:c r="BN32" s="27"/>
      <s:c r="BO32" s="79"/>
      <s:c r="BP32" s="26"/>
      <s:c r="BQ32" s="80"/>
      <s:c r="BR32" s="76"/>
      <s:c r="BS32" s="26"/>
      <s:c r="BT32" s="27"/>
      <s:c r="BU32" s="79"/>
      <s:c r="BV32" s="26"/>
      <s:c r="BW32" s="80"/>
      <s:c r="BX32" s="76"/>
      <s:c r="BY32" s="26"/>
      <s:c r="BZ32" s="27"/>
      <s:c r="CA32" s="79"/>
      <s:c r="CB32" s="26"/>
      <s:c r="CC32" s="80"/>
      <s:c r="CD32" s="76"/>
      <s:c r="CE32" s="26"/>
      <s:c r="CF32" s="27"/>
      <s:c r="CG32" s="79"/>
      <s:c r="CH32" s="26"/>
      <s:c r="CI32" s="80"/>
      <s:c r="CJ32" s="76"/>
      <s:c r="CK32" s="26"/>
      <s:c r="CL32" s="27"/>
      <s:c r="CM32" s="79"/>
      <s:c r="CN32" s="26"/>
      <s:c r="CO32" s="80"/>
      <s:c r="CP32" s="76"/>
      <s:c r="CQ32" s="26"/>
      <s:c r="CR32" s="27"/>
      <s:c r="CS32" s="62">
        <s:f>SUMIFS(D32:CR32,$D$3:$CR$3,"З")</s:f>
        <s:v>0</s:v>
      </s:c>
      <s:c r="CT32" s="63">
        <s:f>SUMIFS(D32:CR32,$D$3:$CR$3,"О")</s:f>
        <s:v>0</s:v>
      </s:c>
      <s:c r="CU32" s="63">
        <s:f>SUMIFS(D32:CR32,$D$3:$CR$3,"У")</s:f>
        <s:v>0</s:v>
      </s:c>
      <s:c r="CV32" s="28">
        <s:f>IF(C32="Да",CS32*$D$45+CT32*$D$46+CU32*$D$47,CS32*$C$45+CT32*$C$46+CU32*$C$47)</s:f>
        <s:v>0</s:v>
      </s:c>
      <s:c r="CW32" s="29" t="str">
        <s:f>IF(C32="Нет",CV32,"")</s:f>
        <s:v/>
      </s:c>
      <s:c r="CX32" s="30" t="str">
        <s:f>IF(C32="Да",CV32,"")</s:f>
        <s:v/>
      </s:c>
      <s:c r="CY32" s="30" t="str">
        <s:f>IF(C32="Налич",CV32,"")</s:f>
        <s:v/>
      </s:c>
    </s:row>
    <s:row r="33" ht="21">
      <s:c r="A33" s="23" t="str">
        <s:f>IF(B33="","",COUNTA($B$4:B33))</s:f>
        <s:v/>
      </s:c>
      <s:c r="B33" s="35"/>
      <s:c r="C33" s="36"/>
      <s:c r="D33" s="49"/>
      <s:c r="E33" s="50"/>
      <s:c r="F33" s="74"/>
      <s:c r="G33" s="79"/>
      <s:c r="H33" s="26"/>
      <s:c r="I33" s="80"/>
      <s:c r="J33" s="76"/>
      <s:c r="K33" s="26"/>
      <s:c r="L33" s="27"/>
      <s:c r="M33" s="79"/>
      <s:c r="N33" s="26"/>
      <s:c r="O33" s="80"/>
      <s:c r="P33" s="76"/>
      <s:c r="Q33" s="26"/>
      <s:c r="R33" s="27"/>
      <s:c r="S33" s="79"/>
      <s:c r="T33" s="26"/>
      <s:c r="U33" s="80"/>
      <s:c r="V33" s="76"/>
      <s:c r="W33" s="26"/>
      <s:c r="X33" s="27"/>
      <s:c r="Y33" s="79"/>
      <s:c r="Z33" s="26"/>
      <s:c r="AA33" s="80"/>
      <s:c r="AB33" s="76"/>
      <s:c r="AC33" s="26"/>
      <s:c r="AD33" s="27"/>
      <s:c r="AE33" s="79"/>
      <s:c r="AF33" s="26"/>
      <s:c r="AG33" s="80"/>
      <s:c r="AH33" s="76"/>
      <s:c r="AI33" s="26"/>
      <s:c r="AJ33" s="27"/>
      <s:c r="AK33" s="79"/>
      <s:c r="AL33" s="26"/>
      <s:c r="AM33" s="80"/>
      <s:c r="AN33" s="76"/>
      <s:c r="AO33" s="26"/>
      <s:c r="AP33" s="27"/>
      <s:c r="AQ33" s="79"/>
      <s:c r="AR33" s="26"/>
      <s:c r="AS33" s="80"/>
      <s:c r="AT33" s="76"/>
      <s:c r="AU33" s="26"/>
      <s:c r="AV33" s="27"/>
      <s:c r="AW33" s="79"/>
      <s:c r="AX33" s="26"/>
      <s:c r="AY33" s="80"/>
      <s:c r="AZ33" s="76"/>
      <s:c r="BA33" s="26"/>
      <s:c r="BB33" s="27"/>
      <s:c r="BC33" s="79"/>
      <s:c r="BD33" s="26"/>
      <s:c r="BE33" s="80"/>
      <s:c r="BF33" s="76"/>
      <s:c r="BG33" s="26"/>
      <s:c r="BH33" s="27"/>
      <s:c r="BI33" s="79"/>
      <s:c r="BJ33" s="26"/>
      <s:c r="BK33" s="80"/>
      <s:c r="BL33" s="76"/>
      <s:c r="BM33" s="26"/>
      <s:c r="BN33" s="27"/>
      <s:c r="BO33" s="79"/>
      <s:c r="BP33" s="26"/>
      <s:c r="BQ33" s="80"/>
      <s:c r="BR33" s="76"/>
      <s:c r="BS33" s="26"/>
      <s:c r="BT33" s="27"/>
      <s:c r="BU33" s="79"/>
      <s:c r="BV33" s="26"/>
      <s:c r="BW33" s="80"/>
      <s:c r="BX33" s="76"/>
      <s:c r="BY33" s="26"/>
      <s:c r="BZ33" s="27"/>
      <s:c r="CA33" s="79"/>
      <s:c r="CB33" s="26"/>
      <s:c r="CC33" s="80"/>
      <s:c r="CD33" s="76"/>
      <s:c r="CE33" s="26"/>
      <s:c r="CF33" s="27"/>
      <s:c r="CG33" s="79"/>
      <s:c r="CH33" s="26"/>
      <s:c r="CI33" s="80"/>
      <s:c r="CJ33" s="76"/>
      <s:c r="CK33" s="26"/>
      <s:c r="CL33" s="27"/>
      <s:c r="CM33" s="79"/>
      <s:c r="CN33" s="26"/>
      <s:c r="CO33" s="80"/>
      <s:c r="CP33" s="76"/>
      <s:c r="CQ33" s="26"/>
      <s:c r="CR33" s="27"/>
      <s:c r="CS33" s="62">
        <s:f>SUMIFS(D33:CR33,$D$3:$CR$3,"З")</s:f>
        <s:v>0</s:v>
      </s:c>
      <s:c r="CT33" s="63">
        <s:f>SUMIFS(D33:CR33,$D$3:$CR$3,"О")</s:f>
        <s:v>0</s:v>
      </s:c>
      <s:c r="CU33" s="63">
        <s:f>SUMIFS(D33:CR33,$D$3:$CR$3,"У")</s:f>
        <s:v>0</s:v>
      </s:c>
      <s:c r="CV33" s="28">
        <s:f>IF(C33="Да",CS33*$D$45+CT33*$D$46+CU33*$D$47,CS33*$C$45+CT33*$C$46+CU33*$C$47)</s:f>
        <s:v>0</s:v>
      </s:c>
      <s:c r="CW33" s="29" t="str">
        <s:f>IF(C33="Нет",CV33,"")</s:f>
        <s:v/>
      </s:c>
      <s:c r="CX33" s="30" t="str">
        <s:f>IF(C33="Да",CV33,"")</s:f>
        <s:v/>
      </s:c>
      <s:c r="CY33" s="30" t="str">
        <s:f>IF(C33="Налич",CV33,"")</s:f>
        <s:v/>
      </s:c>
    </s:row>
    <s:row r="34" ht="21.6">
      <s:c r="A34" s="37" t="str">
        <s:f>IF(B34="","",COUNTA($B$4:B34))</s:f>
        <s:v/>
      </s:c>
      <s:c r="B34" s="38"/>
      <s:c r="C34" s="39"/>
      <s:c r="D34" s="55"/>
      <s:c r="E34" s="56"/>
      <s:c r="F34" s="75"/>
      <s:c r="G34" s="81"/>
      <s:c r="H34" s="40"/>
      <s:c r="I34" s="82"/>
      <s:c r="J34" s="77"/>
      <s:c r="K34" s="40"/>
      <s:c r="L34" s="41"/>
      <s:c r="M34" s="81"/>
      <s:c r="N34" s="40"/>
      <s:c r="O34" s="82"/>
      <s:c r="P34" s="77"/>
      <s:c r="Q34" s="40"/>
      <s:c r="R34" s="41"/>
      <s:c r="S34" s="81"/>
      <s:c r="T34" s="40"/>
      <s:c r="U34" s="82"/>
      <s:c r="V34" s="77"/>
      <s:c r="W34" s="40"/>
      <s:c r="X34" s="41"/>
      <s:c r="Y34" s="81"/>
      <s:c r="Z34" s="40"/>
      <s:c r="AA34" s="82"/>
      <s:c r="AB34" s="77"/>
      <s:c r="AC34" s="40"/>
      <s:c r="AD34" s="41"/>
      <s:c r="AE34" s="81"/>
      <s:c r="AF34" s="40"/>
      <s:c r="AG34" s="82"/>
      <s:c r="AH34" s="77"/>
      <s:c r="AI34" s="40"/>
      <s:c r="AJ34" s="41"/>
      <s:c r="AK34" s="81"/>
      <s:c r="AL34" s="40"/>
      <s:c r="AM34" s="82"/>
      <s:c r="AN34" s="77"/>
      <s:c r="AO34" s="40"/>
      <s:c r="AP34" s="41"/>
      <s:c r="AQ34" s="81"/>
      <s:c r="AR34" s="40"/>
      <s:c r="AS34" s="82"/>
      <s:c r="AT34" s="77"/>
      <s:c r="AU34" s="40"/>
      <s:c r="AV34" s="41"/>
      <s:c r="AW34" s="81"/>
      <s:c r="AX34" s="40"/>
      <s:c r="AY34" s="82"/>
      <s:c r="AZ34" s="77"/>
      <s:c r="BA34" s="40"/>
      <s:c r="BB34" s="41"/>
      <s:c r="BC34" s="81"/>
      <s:c r="BD34" s="40"/>
      <s:c r="BE34" s="82"/>
      <s:c r="BF34" s="77"/>
      <s:c r="BG34" s="40"/>
      <s:c r="BH34" s="41"/>
      <s:c r="BI34" s="81"/>
      <s:c r="BJ34" s="40"/>
      <s:c r="BK34" s="82"/>
      <s:c r="BL34" s="77"/>
      <s:c r="BM34" s="40"/>
      <s:c r="BN34" s="41"/>
      <s:c r="BO34" s="81"/>
      <s:c r="BP34" s="40"/>
      <s:c r="BQ34" s="82"/>
      <s:c r="BR34" s="77"/>
      <s:c r="BS34" s="40"/>
      <s:c r="BT34" s="41"/>
      <s:c r="BU34" s="81"/>
      <s:c r="BV34" s="40"/>
      <s:c r="BW34" s="82"/>
      <s:c r="BX34" s="77"/>
      <s:c r="BY34" s="40"/>
      <s:c r="BZ34" s="41"/>
      <s:c r="CA34" s="81"/>
      <s:c r="CB34" s="40"/>
      <s:c r="CC34" s="82"/>
      <s:c r="CD34" s="77"/>
      <s:c r="CE34" s="40"/>
      <s:c r="CF34" s="41"/>
      <s:c r="CG34" s="81"/>
      <s:c r="CH34" s="40"/>
      <s:c r="CI34" s="82"/>
      <s:c r="CJ34" s="77"/>
      <s:c r="CK34" s="40"/>
      <s:c r="CL34" s="41"/>
      <s:c r="CM34" s="81"/>
      <s:c r="CN34" s="40"/>
      <s:c r="CO34" s="82"/>
      <s:c r="CP34" s="77"/>
      <s:c r="CQ34" s="40"/>
      <s:c r="CR34" s="41"/>
      <s:c r="CS34" s="67">
        <s:f>SUMIFS(D34:CR34,$D$3:$CR$3,"З")</s:f>
        <s:v>0</s:v>
      </s:c>
      <s:c r="CT34" s="68">
        <s:f>SUMIFS(D34:CR34,$D$3:$CR$3,"О")</s:f>
        <s:v>0</s:v>
      </s:c>
      <s:c r="CU34" s="68">
        <s:f>SUMIFS(D34:CR34,$D$3:$CR$3,"У")</s:f>
        <s:v>0</s:v>
      </s:c>
      <s:c r="CV34" s="42">
        <s:f>IF(C34="Да",CS34*$D$45+CT34*$D$46+CU34*$D$47,CS34*$C$45+CT34*$C$46+CU34*$C$47)</s:f>
        <s:v>0</s:v>
      </s:c>
      <s:c r="CW34" s="43" t="str">
        <s:f>IF(C34="Нет",CV34,"")</s:f>
        <s:v/>
      </s:c>
      <s:c r="CX34" s="44" t="str">
        <s:f>IF(C34="Да",CV34,"")</s:f>
        <s:v/>
      </s:c>
      <s:c r="CY34" s="30" t="str">
        <s:f>IF(C34="Налич",CV34,"")</s:f>
        <s:v/>
      </s:c>
    </s:row>
    <s:row r="35" ht="21.6">
      <s:c r="A35" s="45"/>
      <s:c r="B35" s="46"/>
      <s:c r="C35" s="47"/>
      <s:c r="D35" s="7" t="s">
        <s:v>10</s:v>
      </s:c>
      <s:c r="E35" s="8" t="s">
        <s:v>11</s:v>
      </s:c>
      <s:c r="F35" s="94" t="s">
        <s:v>12</s:v>
      </s:c>
      <s:c r="G35" s="97" t="s">
        <s:v>10</s:v>
      </s:c>
      <s:c r="H35" s="8" t="s">
        <s:v>11</s:v>
      </s:c>
      <s:c r="I35" s="98" t="s">
        <s:v>12</s:v>
      </s:c>
      <s:c r="J35" s="7" t="s">
        <s:v>10</s:v>
      </s:c>
      <s:c r="K35" s="8" t="s">
        <s:v>11</s:v>
      </s:c>
      <s:c r="L35" s="94" t="s">
        <s:v>12</s:v>
      </s:c>
      <s:c r="M35" s="97" t="s">
        <s:v>10</s:v>
      </s:c>
      <s:c r="N35" s="8" t="s">
        <s:v>11</s:v>
      </s:c>
      <s:c r="O35" s="98" t="s">
        <s:v>12</s:v>
      </s:c>
      <s:c r="P35" s="7" t="s">
        <s:v>10</s:v>
      </s:c>
      <s:c r="Q35" s="8" t="s">
        <s:v>11</s:v>
      </s:c>
      <s:c r="R35" s="94" t="s">
        <s:v>12</s:v>
      </s:c>
      <s:c r="S35" s="97" t="s">
        <s:v>10</s:v>
      </s:c>
      <s:c r="T35" s="8" t="s">
        <s:v>11</s:v>
      </s:c>
      <s:c r="U35" s="98" t="s">
        <s:v>12</s:v>
      </s:c>
      <s:c r="V35" s="7" t="s">
        <s:v>10</s:v>
      </s:c>
      <s:c r="W35" s="8" t="s">
        <s:v>11</s:v>
      </s:c>
      <s:c r="X35" s="94" t="s">
        <s:v>12</s:v>
      </s:c>
      <s:c r="Y35" s="97" t="s">
        <s:v>10</s:v>
      </s:c>
      <s:c r="Z35" s="8" t="s">
        <s:v>11</s:v>
      </s:c>
      <s:c r="AA35" s="98" t="s">
        <s:v>12</s:v>
      </s:c>
      <s:c r="AB35" s="7" t="s">
        <s:v>10</s:v>
      </s:c>
      <s:c r="AC35" s="8" t="s">
        <s:v>11</s:v>
      </s:c>
      <s:c r="AD35" s="94" t="s">
        <s:v>12</s:v>
      </s:c>
      <s:c r="AE35" s="97" t="s">
        <s:v>10</s:v>
      </s:c>
      <s:c r="AF35" s="8" t="s">
        <s:v>11</s:v>
      </s:c>
      <s:c r="AG35" s="98" t="s">
        <s:v>12</s:v>
      </s:c>
      <s:c r="AH35" s="7" t="s">
        <s:v>10</s:v>
      </s:c>
      <s:c r="AI35" s="8" t="s">
        <s:v>11</s:v>
      </s:c>
      <s:c r="AJ35" s="94" t="s">
        <s:v>12</s:v>
      </s:c>
      <s:c r="AK35" s="97" t="s">
        <s:v>10</s:v>
      </s:c>
      <s:c r="AL35" s="8" t="s">
        <s:v>11</s:v>
      </s:c>
      <s:c r="AM35" s="98" t="s">
        <s:v>12</s:v>
      </s:c>
      <s:c r="AN35" s="7" t="s">
        <s:v>10</s:v>
      </s:c>
      <s:c r="AO35" s="8" t="s">
        <s:v>11</s:v>
      </s:c>
      <s:c r="AP35" s="94" t="s">
        <s:v>12</s:v>
      </s:c>
      <s:c r="AQ35" s="97" t="s">
        <s:v>10</s:v>
      </s:c>
      <s:c r="AR35" s="8" t="s">
        <s:v>11</s:v>
      </s:c>
      <s:c r="AS35" s="98" t="s">
        <s:v>12</s:v>
      </s:c>
      <s:c r="AT35" s="7" t="s">
        <s:v>10</s:v>
      </s:c>
      <s:c r="AU35" s="8" t="s">
        <s:v>11</s:v>
      </s:c>
      <s:c r="AV35" s="94" t="s">
        <s:v>12</s:v>
      </s:c>
      <s:c r="AW35" s="97" t="s">
        <s:v>10</s:v>
      </s:c>
      <s:c r="AX35" s="8" t="s">
        <s:v>11</s:v>
      </s:c>
      <s:c r="AY35" s="98" t="s">
        <s:v>12</s:v>
      </s:c>
      <s:c r="AZ35" s="7" t="s">
        <s:v>10</s:v>
      </s:c>
      <s:c r="BA35" s="8" t="s">
        <s:v>11</s:v>
      </s:c>
      <s:c r="BB35" s="94" t="s">
        <s:v>12</s:v>
      </s:c>
      <s:c r="BC35" s="97" t="s">
        <s:v>10</s:v>
      </s:c>
      <s:c r="BD35" s="8" t="s">
        <s:v>11</s:v>
      </s:c>
      <s:c r="BE35" s="98" t="s">
        <s:v>12</s:v>
      </s:c>
      <s:c r="BF35" s="7" t="s">
        <s:v>10</s:v>
      </s:c>
      <s:c r="BG35" s="8" t="s">
        <s:v>11</s:v>
      </s:c>
      <s:c r="BH35" s="94" t="s">
        <s:v>12</s:v>
      </s:c>
      <s:c r="BI35" s="97" t="s">
        <s:v>10</s:v>
      </s:c>
      <s:c r="BJ35" s="8" t="s">
        <s:v>11</s:v>
      </s:c>
      <s:c r="BK35" s="98" t="s">
        <s:v>12</s:v>
      </s:c>
      <s:c r="BL35" s="7" t="s">
        <s:v>10</s:v>
      </s:c>
      <s:c r="BM35" s="8" t="s">
        <s:v>11</s:v>
      </s:c>
      <s:c r="BN35" s="94" t="s">
        <s:v>12</s:v>
      </s:c>
      <s:c r="BO35" s="97" t="s">
        <s:v>10</s:v>
      </s:c>
      <s:c r="BP35" s="8" t="s">
        <s:v>11</s:v>
      </s:c>
      <s:c r="BQ35" s="98" t="s">
        <s:v>12</s:v>
      </s:c>
      <s:c r="BR35" s="7" t="s">
        <s:v>10</s:v>
      </s:c>
      <s:c r="BS35" s="8" t="s">
        <s:v>11</s:v>
      </s:c>
      <s:c r="BT35" s="94" t="s">
        <s:v>12</s:v>
      </s:c>
      <s:c r="BU35" s="97" t="s">
        <s:v>10</s:v>
      </s:c>
      <s:c r="BV35" s="8" t="s">
        <s:v>11</s:v>
      </s:c>
      <s:c r="BW35" s="98" t="s">
        <s:v>12</s:v>
      </s:c>
      <s:c r="BX35" s="7" t="s">
        <s:v>10</s:v>
      </s:c>
      <s:c r="BY35" s="8" t="s">
        <s:v>11</s:v>
      </s:c>
      <s:c r="BZ35" s="94" t="s">
        <s:v>12</s:v>
      </s:c>
      <s:c r="CA35" s="97" t="s">
        <s:v>10</s:v>
      </s:c>
      <s:c r="CB35" s="8" t="s">
        <s:v>11</s:v>
      </s:c>
      <s:c r="CC35" s="98" t="s">
        <s:v>12</s:v>
      </s:c>
      <s:c r="CD35" s="7" t="s">
        <s:v>10</s:v>
      </s:c>
      <s:c r="CE35" s="8" t="s">
        <s:v>11</s:v>
      </s:c>
      <s:c r="CF35" s="94" t="s">
        <s:v>12</s:v>
      </s:c>
      <s:c r="CG35" s="97" t="s">
        <s:v>10</s:v>
      </s:c>
      <s:c r="CH35" s="8" t="s">
        <s:v>11</s:v>
      </s:c>
      <s:c r="CI35" s="98" t="s">
        <s:v>12</s:v>
      </s:c>
      <s:c r="CJ35" s="7" t="s">
        <s:v>10</s:v>
      </s:c>
      <s:c r="CK35" s="8" t="s">
        <s:v>11</s:v>
      </s:c>
      <s:c r="CL35" s="94" t="s">
        <s:v>12</s:v>
      </s:c>
      <s:c r="CM35" s="97" t="s">
        <s:v>10</s:v>
      </s:c>
      <s:c r="CN35" s="8" t="s">
        <s:v>11</s:v>
      </s:c>
      <s:c r="CO35" s="98" t="s">
        <s:v>12</s:v>
      </s:c>
      <s:c r="CP35" s="7" t="s">
        <s:v>10</s:v>
      </s:c>
      <s:c r="CQ35" s="8" t="s">
        <s:v>11</s:v>
      </s:c>
      <s:c r="CR35" s="94" t="s">
        <s:v>12</s:v>
      </s:c>
      <s:c r="CS35" s="92" t="s">
        <s:v>10</s:v>
      </s:c>
      <s:c r="CT35" s="10" t="s">
        <s:v>11</s:v>
      </s:c>
      <s:c r="CU35" s="69" t="s">
        <s:v>12</s:v>
      </s:c>
      <s:c r="CV35" s="173" t="s">
        <s:v>30</s:v>
      </s:c>
      <s:c r="CW35" s="174"/>
      <s:c r="CX35" s="174"/>
      <s:c r="CY35" s="175"/>
    </s:row>
    <s:row r="36" ht="21.6">
      <s:c r="A36" s="45"/>
      <s:c r="B36" s="48" t="s">
        <s:v>13</s:v>
      </s:c>
      <s:c r="C36" s="89"/>
      <s:c r="D36" s="86">
        <s:f>SUM(D4:D34)</s:f>
        <s:v>21</s:v>
      </s:c>
      <s:c r="E36" s="84">
        <s:f>SUM(E4:E34)</s:f>
        <s:v>20</s:v>
      </s:c>
      <s:c r="F36" s="87">
        <s:f>SUM(F4:F34)</s:f>
        <s:v>20</s:v>
      </s:c>
      <s:c r="G36" s="88">
        <s:f>SUM(G4:G34)</s:f>
        <s:v>22</s:v>
      </s:c>
      <s:c r="H36" s="84">
        <s:f>SUM(H4:H34)</s:f>
        <s:v>0</s:v>
      </s:c>
      <s:c r="I36" s="85">
        <s:f>SUM(I4:I34)</s:f>
        <s:v>0</s:v>
      </s:c>
      <s:c r="J36" s="86">
        <s:f>SUM(J4:J34)</s:f>
        <s:v>2</s:v>
      </s:c>
      <s:c r="K36" s="84">
        <s:f>SUM(K4:K34)</s:f>
        <s:v>15.45</s:v>
      </s:c>
      <s:c r="L36" s="87">
        <s:f>SUM(L4:L34)</s:f>
        <s:v>6</s:v>
      </s:c>
      <s:c r="M36" s="88">
        <s:f>SUM(M4:M34)</s:f>
        <s:v>9</s:v>
      </s:c>
      <s:c r="N36" s="84">
        <s:f>SUM(N4:N34)</s:f>
        <s:v>14.5</s:v>
      </s:c>
      <s:c r="O36" s="85">
        <s:f>SUM(O4:O34)</s:f>
        <s:v>12</s:v>
      </s:c>
      <s:c r="P36" s="86">
        <s:f>SUM(P4:P34)</s:f>
        <s:v>16</s:v>
      </s:c>
      <s:c r="Q36" s="84">
        <s:f>SUM(Q4:Q34)</s:f>
        <s:v>13.3</s:v>
      </s:c>
      <s:c r="R36" s="87">
        <s:f>SUM(R4:R34)</s:f>
        <s:v>11</s:v>
      </s:c>
      <s:c r="S36" s="88">
        <s:f>SUM(S4:S34)</s:f>
        <s:v>14.125</s:v>
      </s:c>
      <s:c r="T36" s="84">
        <s:f>SUM(T4:T34)</s:f>
        <s:v>12.7</s:v>
      </s:c>
      <s:c r="U36" s="85">
        <s:f>SUM(U4:U34)</s:f>
        <s:v>11</s:v>
      </s:c>
      <s:c r="V36" s="86">
        <s:f>SUM(V4:V34)</s:f>
        <s:v>13</s:v>
      </s:c>
      <s:c r="W36" s="84">
        <s:f>SUM(W4:W34)</s:f>
        <s:v>8.1</s:v>
      </s:c>
      <s:c r="X36" s="87">
        <s:f>SUM(X4:X34)</s:f>
        <s:v>6</s:v>
      </s:c>
      <s:c r="Y36" s="88">
        <s:f>SUM(Y4:Y34)</s:f>
        <s:v>6</s:v>
      </s:c>
      <s:c r="Z36" s="84">
        <s:f>SUM(Z4:Z34)</s:f>
        <s:v>0</s:v>
      </s:c>
      <s:c r="AA36" s="85">
        <s:f>SUM(AA4:AA34)</s:f>
        <s:v>0</s:v>
      </s:c>
      <s:c r="AB36" s="86">
        <s:f>SUM(AB4:AB34)</s:f>
        <s:v>0</s:v>
      </s:c>
      <s:c r="AC36" s="84">
        <s:f>SUM(AC4:AC34)</s:f>
        <s:v>0</s:v>
      </s:c>
      <s:c r="AD36" s="87">
        <s:f>SUM(AD4:AD34)</s:f>
        <s:v>0</s:v>
      </s:c>
      <s:c r="AE36" s="88">
        <s:f>SUM(AE4:AE34)</s:f>
        <s:v>0</s:v>
      </s:c>
      <s:c r="AF36" s="84">
        <s:f>SUM(AF4:AF34)</s:f>
        <s:v>0</s:v>
      </s:c>
      <s:c r="AG36" s="85">
        <s:f>SUM(AG4:AG34)</s:f>
        <s:v>38</s:v>
      </s:c>
      <s:c r="AH36" s="86">
        <s:f>SUM(AH4:AH34)</s:f>
        <s:v>40</s:v>
      </s:c>
      <s:c r="AI36" s="84">
        <s:f>SUM(AI4:AI34)</s:f>
        <s:v>21</s:v>
      </s:c>
      <s:c r="AJ36" s="87">
        <s:f>SUM(AJ4:AJ34)</s:f>
        <s:v>35</s:v>
      </s:c>
      <s:c r="AK36" s="88">
        <s:f>SUM(AK4:AK34)</s:f>
        <s:v>36</s:v>
      </s:c>
      <s:c r="AL36" s="84">
        <s:f>SUM(AL4:AL34)</s:f>
        <s:v>21</s:v>
      </s:c>
      <s:c r="AM36" s="85">
        <s:f>SUM(AM4:AM34)</s:f>
        <s:v>35</s:v>
      </s:c>
      <s:c r="AN36" s="86">
        <s:f>SUM(AN4:AN34)</s:f>
        <s:v>38</s:v>
      </s:c>
      <s:c r="AO36" s="84">
        <s:f>SUM(AO4:AO34)</s:f>
        <s:v>21</s:v>
      </s:c>
      <s:c r="AP36" s="87">
        <s:f>SUM(AP4:AP34)</s:f>
        <s:v>35</s:v>
      </s:c>
      <s:c r="AQ36" s="88">
        <s:f>SUM(AQ4:AQ34)</s:f>
        <s:v>38</s:v>
      </s:c>
      <s:c r="AR36" s="84">
        <s:f>SUM(AR4:AR34)</s:f>
        <s:v>21</s:v>
      </s:c>
      <s:c r="AS36" s="85">
        <s:f>SUM(AS4:AS34)</s:f>
        <s:v>21</s:v>
      </s:c>
      <s:c r="AT36" s="86">
        <s:f>SUM(AT4:AT34)</s:f>
        <s:v>22</s:v>
      </s:c>
      <s:c r="AU36" s="84">
        <s:f>SUM(AU4:AU34)</s:f>
        <s:v>0</s:v>
      </s:c>
      <s:c r="AV36" s="87">
        <s:f>SUM(AV4:AV34)</s:f>
        <s:v>0</s:v>
      </s:c>
      <s:c r="AW36" s="88">
        <s:f>SUM(AW4:AW34)</s:f>
        <s:v>2</s:v>
      </s:c>
      <s:c r="AX36" s="84">
        <s:f>SUM(AX4:AX34)</s:f>
        <s:v>0</s:v>
      </s:c>
      <s:c r="AY36" s="85">
        <s:f>SUM(AY4:AY34)</s:f>
        <s:v>0</s:v>
      </s:c>
      <s:c r="AZ36" s="86">
        <s:f>SUM(AZ4:AZ34)</s:f>
        <s:v>5</s:v>
      </s:c>
      <s:c r="BA36" s="84">
        <s:f>SUM(BA4:BA34)</s:f>
        <s:v>0</s:v>
      </s:c>
      <s:c r="BB36" s="87">
        <s:f>SUM(BB4:BB34)</s:f>
        <s:v>0</s:v>
      </s:c>
      <s:c r="BC36" s="88">
        <s:f>SUM(BC4:BC34)</s:f>
        <s:v>4</s:v>
      </s:c>
      <s:c r="BD36" s="84">
        <s:f>SUM(BD4:BD34)</s:f>
        <s:v>0</s:v>
      </s:c>
      <s:c r="BE36" s="85">
        <s:f>SUM(BE4:BE34)</s:f>
        <s:v>0</s:v>
      </s:c>
      <s:c r="BF36" s="86">
        <s:f>SUM(BF4:BF34)</s:f>
        <s:v>4</s:v>
      </s:c>
      <s:c r="BG36" s="84">
        <s:f>SUM(BG4:BG34)</s:f>
        <s:v>19</s:v>
      </s:c>
      <s:c r="BH36" s="87">
        <s:f>SUM(BH4:BH34)</s:f>
        <s:v>19</s:v>
      </s:c>
      <s:c r="BI36" s="88">
        <s:f>SUM(BI4:BI34)</s:f>
        <s:v>24</s:v>
      </s:c>
      <s:c r="BJ36" s="84">
        <s:f>SUM(BJ4:BJ34)</s:f>
        <s:v>19</s:v>
      </s:c>
      <s:c r="BK36" s="85">
        <s:f>SUM(BK4:BK34)</s:f>
        <s:v>19</s:v>
      </s:c>
      <s:c r="BL36" s="86">
        <s:f>SUM(BL4:BL34)</s:f>
        <s:v>21</s:v>
      </s:c>
      <s:c r="BM36" s="84">
        <s:f>SUM(BM4:BM34)</s:f>
        <s:v>19</s:v>
      </s:c>
      <s:c r="BN36" s="87">
        <s:f>SUM(BN4:BN34)</s:f>
        <s:v>19</s:v>
      </s:c>
      <s:c r="BO36" s="88">
        <s:f>SUM(BO4:BO34)</s:f>
        <s:v>23</s:v>
      </s:c>
      <s:c r="BP36" s="84">
        <s:f>SUM(BP4:BP34)</s:f>
        <s:v>19</s:v>
      </s:c>
      <s:c r="BQ36" s="85">
        <s:f>SUM(BQ4:BQ34)</s:f>
        <s:v>19</s:v>
      </s:c>
      <s:c r="BR36" s="86">
        <s:f>SUM(BR4:BR34)</s:f>
        <s:v>22</s:v>
      </s:c>
      <s:c r="BS36" s="84">
        <s:f>SUM(BS4:BS34)</s:f>
        <s:v>19</s:v>
      </s:c>
      <s:c r="BT36" s="87">
        <s:f>SUM(BT4:BT34)</s:f>
        <s:v>19</s:v>
      </s:c>
      <s:c r="BU36" s="88">
        <s:f>SUM(BU4:BU34)</s:f>
        <s:v>3</s:v>
      </s:c>
      <s:c r="BV36" s="84">
        <s:f>SUM(BV4:BV34)</s:f>
        <s:v>0</s:v>
      </s:c>
      <s:c r="BW36" s="85">
        <s:f>SUM(BW4:BW34)</s:f>
        <s:v>0</s:v>
      </s:c>
      <s:c r="BX36" s="86">
        <s:f>SUM(BX4:BX34)</s:f>
        <s:v>0</s:v>
      </s:c>
      <s:c r="BY36" s="84">
        <s:f>SUM(BY4:BY34)</s:f>
        <s:v>0</s:v>
      </s:c>
      <s:c r="BZ36" s="87">
        <s:f>SUM(BZ4:BZ34)</s:f>
        <s:v>0</s:v>
      </s:c>
      <s:c r="CA36" s="88">
        <s:f>SUM(CA4:CA34)</s:f>
        <s:v>0</s:v>
      </s:c>
      <s:c r="CB36" s="84">
        <s:f>SUM(CB4:CB34)</s:f>
        <s:v>0</s:v>
      </s:c>
      <s:c r="CC36" s="85">
        <s:f>SUM(CC4:CC34)</s:f>
        <s:v>0</s:v>
      </s:c>
      <s:c r="CD36" s="86">
        <s:f>SUM(CD4:CD34)</s:f>
        <s:v>3</s:v>
      </s:c>
      <s:c r="CE36" s="84">
        <s:f>SUM(CE4:CE34)</s:f>
        <s:v>0</s:v>
      </s:c>
      <s:c r="CF36" s="87">
        <s:f>SUM(CF4:CF34)</s:f>
        <s:v>0</s:v>
      </s:c>
      <s:c r="CG36" s="88">
        <s:f>SUM(CG4:CG34)</s:f>
        <s:v>3</s:v>
      </s:c>
      <s:c r="CH36" s="84">
        <s:f>SUM(CH4:CH34)</s:f>
        <s:v>0</s:v>
      </s:c>
      <s:c r="CI36" s="85">
        <s:f>SUM(CI4:CI34)</s:f>
        <s:v>0</s:v>
      </s:c>
      <s:c r="CJ36" s="86">
        <s:f>SUM(CJ4:CJ34)</s:f>
        <s:v>0</s:v>
      </s:c>
      <s:c r="CK36" s="84">
        <s:f>SUM(CK4:CK34)</s:f>
        <s:v>0</s:v>
      </s:c>
      <s:c r="CL36" s="87">
        <s:f>SUM(CL4:CL34)</s:f>
        <s:v>0</s:v>
      </s:c>
      <s:c r="CM36" s="88">
        <s:f>SUM(CM4:CM34)</s:f>
        <s:v>0</s:v>
      </s:c>
      <s:c r="CN36" s="84">
        <s:f>SUM(CN4:CN34)</s:f>
        <s:v>0</s:v>
      </s:c>
      <s:c r="CO36" s="85">
        <s:f>SUM(CO4:CO34)</s:f>
        <s:v>0</s:v>
      </s:c>
      <s:c r="CP36" s="86">
        <s:f>SUM(CP4:CP34)</s:f>
        <s:v>0</s:v>
      </s:c>
      <s:c r="CQ36" s="84">
        <s:f>SUM(CQ4:CQ34)</s:f>
        <s:v>0</s:v>
      </s:c>
      <s:c r="CR36" s="87">
        <s:f>SUM(CR4:CR34)</s:f>
        <s:v>0</s:v>
      </s:c>
      <s:c r="CS36" s="93">
        <s:f>SUM(CS4:CS34)</s:f>
        <s:v>391.125</s:v>
      </s:c>
      <s:c r="CT36" s="70">
        <s:f>SUM(CT4:CT34)</s:f>
        <s:v>263.05</s:v>
      </s:c>
      <s:c r="CU36" s="71">
        <s:f>SUM(CU4:CU34)</s:f>
        <s:v>325</s:v>
      </s:c>
      <s:c r="CV36" s="124">
        <s:f>SUM(CW36:CY36)</s:f>
        <s:v>869570</s:v>
      </s:c>
      <s:c r="CW36" s="110">
        <s:f>SUM(CW4:CW34)</s:f>
        <s:v>675400</s:v>
      </s:c>
      <s:c r="CX36" s="110">
        <s:f>SUM(CX4:CX34)</s:f>
        <s:v>104220</s:v>
      </s:c>
      <s:c r="CY36" s="110">
        <s:f>SUM(CY4:CY34)</s:f>
        <s:v>89950</s:v>
      </s:c>
    </s:row>
    <s:row r="37" ht="84.6">
      <s:c r="B37" s="73" t="s">
        <s:v>31</s:v>
      </s:c>
      <s:c r="D37" s="95">
        <s:f>SUMIFS(D4:D34,$C$4:$C$34,"Да")</s:f>
        <s:v>21</s:v>
      </s:c>
      <s:c r="E37" s="1">
        <s:f>SUMIFS(E4:E34,$C$4:$C$34,"Да")</s:f>
        <s:v>20</s:v>
      </s:c>
      <s:c r="F37" s="96">
        <s:f>SUMIFS(F4:F34,$C$4:$C$34,"Да")</s:f>
        <s:v>20</s:v>
      </s:c>
      <s:c r="G37" s="91">
        <s:f>SUMIFS(G4:G34,$C$4:$C$34,"Да")</s:f>
        <s:v>22</s:v>
      </s:c>
      <s:c r="H37" s="1">
        <s:f>SUMIFS(H4:H34,$C$4:$C$34,"Да")</s:f>
        <s:v>0</s:v>
      </s:c>
      <s:c r="I37" s="90">
        <s:f>SUMIFS(I4:I34,$C$4:$C$34,"Да")</s:f>
        <s:v>0</s:v>
      </s:c>
      <s:c r="J37" s="95">
        <s:f>SUMIFS(J4:J34,$C$4:$C$34,"Да")</s:f>
        <s:v>2</s:v>
      </s:c>
      <s:c r="K37" s="1">
        <s:f>SUMIFS(K4:K34,$C$4:$C$34,"Да")</s:f>
        <s:v>0</s:v>
      </s:c>
      <s:c r="L37" s="96">
        <s:f>SUMIFS(L4:L34,$C$4:$C$34,"Да")</s:f>
        <s:v>0</s:v>
      </s:c>
      <s:c r="M37" s="91">
        <s:f>SUMIFS(M4:M34,$C$4:$C$34,"Да")</s:f>
        <s:v>3</s:v>
      </s:c>
      <s:c r="N37" s="1">
        <s:f>SUMIFS(N4:N34,$C$4:$C$34,"Да")</s:f>
        <s:v>0</s:v>
      </s:c>
      <s:c r="O37" s="90">
        <s:f>SUMIFS(O4:O34,$C$4:$C$34,"Да")</s:f>
        <s:v>0</s:v>
      </s:c>
      <s:c r="P37" s="95">
        <s:f>SUMIFS(P4:P34,$C$4:$C$34,"Да")</s:f>
        <s:v>3</s:v>
      </s:c>
      <s:c r="Q37" s="1">
        <s:f>SUMIFS(Q4:Q34,$C$4:$C$34,"Да")</s:f>
        <s:v>0</s:v>
      </s:c>
      <s:c r="R37" s="96">
        <s:f>SUMIFS(R4:R34,$C$4:$C$34,"Да")</s:f>
        <s:v>0</s:v>
      </s:c>
      <s:c r="S37" s="91">
        <s:f>SUMIFS(S4:S34,$C$4:$C$34,"Да")</s:f>
        <s:v>1.125</s:v>
      </s:c>
      <s:c r="T37" s="1">
        <s:f>SUMIFS(T4:T34,$C$4:$C$34,"Да")</s:f>
        <s:v>0</s:v>
      </s:c>
      <s:c r="U37" s="90">
        <s:f>SUMIFS(U4:U34,$C$4:$C$34,"Да")</s:f>
        <s:v>0</s:v>
      </s:c>
      <s:c r="V37" s="95">
        <s:f>SUMIFS(V4:V34,$C$4:$C$34,"Да")</s:f>
        <s:v>0</s:v>
      </s:c>
      <s:c r="W37" s="1">
        <s:f>SUMIFS(W4:W34,$C$4:$C$34,"Да")</s:f>
        <s:v>0</s:v>
      </s:c>
      <s:c r="X37" s="96">
        <s:f>SUMIFS(X4:X34,$C$4:$C$34,"Да")</s:f>
        <s:v>0</s:v>
      </s:c>
      <s:c r="Y37" s="91">
        <s:f>SUMIFS(Y4:Y34,$C$4:$C$34,"Да")</s:f>
        <s:v>0</s:v>
      </s:c>
      <s:c r="Z37" s="1">
        <s:f>SUMIFS(Z4:Z34,$C$4:$C$34,"Да")</s:f>
        <s:v>0</s:v>
      </s:c>
      <s:c r="AA37" s="90">
        <s:f>SUMIFS(AA4:AA34,$C$4:$C$34,"Да")</s:f>
        <s:v>0</s:v>
      </s:c>
      <s:c r="AB37" s="95">
        <s:f>SUMIFS(AB4:AB34,$C$4:$C$34,"Да")</s:f>
        <s:v>0</s:v>
      </s:c>
      <s:c r="AC37" s="1">
        <s:f>SUMIFS(AC4:AC34,$C$4:$C$34,"Да")</s:f>
        <s:v>0</s:v>
      </s:c>
      <s:c r="AD37" s="96">
        <s:f>SUMIFS(AD4:AD34,$C$4:$C$34,"Да")</s:f>
        <s:v>0</s:v>
      </s:c>
      <s:c r="AE37" s="91">
        <s:f>SUMIFS(AE4:AE34,$C$4:$C$34,"Да")</s:f>
        <s:v>0</s:v>
      </s:c>
      <s:c r="AF37" s="1">
        <s:f>SUMIFS(AF4:AF34,$C$4:$C$34,"Да")</s:f>
        <s:v>0</s:v>
      </s:c>
      <s:c r="AG37" s="90">
        <s:f>SUMIFS(AG4:AG34,$C$4:$C$34,"Да")</s:f>
        <s:v>3</s:v>
      </s:c>
      <s:c r="AH37" s="95">
        <s:f>SUMIFS(AH4:AH34,$C$4:$C$34,"Да")</s:f>
        <s:v>4</s:v>
      </s:c>
      <s:c r="AI37" s="1">
        <s:f>SUMIFS(AI4:AI34,$C$4:$C$34,"Да")</s:f>
        <s:v>0</s:v>
      </s:c>
      <s:c r="AJ37" s="96">
        <s:f>SUMIFS(AJ4:AJ34,$C$4:$C$34,"Да")</s:f>
        <s:v>0</s:v>
      </s:c>
      <s:c r="AK37" s="91">
        <s:f>SUMIFS(AK4:AK34,$C$4:$C$34,"Да")</s:f>
        <s:v>0</s:v>
      </s:c>
      <s:c r="AL37" s="1">
        <s:f>SUMIFS(AL4:AL34,$C$4:$C$34,"Да")</s:f>
        <s:v>0</s:v>
      </s:c>
      <s:c r="AM37" s="90">
        <s:f>SUMIFS(AM4:AM34,$C$4:$C$34,"Да")</s:f>
        <s:v>0</s:v>
      </s:c>
      <s:c r="AN37" s="95">
        <s:f>SUMIFS(AN4:AN34,$C$4:$C$34,"Да")</s:f>
        <s:v>0</s:v>
      </s:c>
      <s:c r="AO37" s="1">
        <s:f>SUMIFS(AO4:AO34,$C$4:$C$34,"Да")</s:f>
        <s:v>0</s:v>
      </s:c>
      <s:c r="AP37" s="96">
        <s:f>SUMIFS(AP4:AP34,$C$4:$C$34,"Да")</s:f>
        <s:v>0</s:v>
      </s:c>
      <s:c r="AQ37" s="91">
        <s:f>SUMIFS(AQ4:AQ34,$C$4:$C$34,"Да")</s:f>
        <s:v>0</s:v>
      </s:c>
      <s:c r="AR37" s="1">
        <s:f>SUMIFS(AR4:AR34,$C$4:$C$34,"Да")</s:f>
        <s:v>0</s:v>
      </s:c>
      <s:c r="AS37" s="90">
        <s:f>SUMIFS(AS4:AS34,$C$4:$C$34,"Да")</s:f>
        <s:v>0</s:v>
      </s:c>
      <s:c r="AT37" s="95">
        <s:f>SUMIFS(AT4:AT34,$C$4:$C$34,"Да")</s:f>
        <s:v>0</s:v>
      </s:c>
      <s:c r="AU37" s="1">
        <s:f>SUMIFS(AU4:AU34,$C$4:$C$34,"Да")</s:f>
        <s:v>0</s:v>
      </s:c>
      <s:c r="AV37" s="96">
        <s:f>SUMIFS(AV4:AV34,$C$4:$C$34,"Да")</s:f>
        <s:v>0</s:v>
      </s:c>
      <s:c r="AW37" s="91">
        <s:f>SUMIFS(AW4:AW34,$C$4:$C$34,"Да")</s:f>
        <s:v>0</s:v>
      </s:c>
      <s:c r="AX37" s="1">
        <s:f>SUMIFS(AX4:AX34,$C$4:$C$34,"Да")</s:f>
        <s:v>0</s:v>
      </s:c>
      <s:c r="AY37" s="90">
        <s:f>SUMIFS(AY4:AY34,$C$4:$C$34,"Да")</s:f>
        <s:v>0</s:v>
      </s:c>
      <s:c r="AZ37" s="95">
        <s:f>SUMIFS(AZ4:AZ34,$C$4:$C$34,"Да")</s:f>
        <s:v>0</s:v>
      </s:c>
      <s:c r="BA37" s="1">
        <s:f>SUMIFS(BA4:BA34,$C$4:$C$34,"Да")</s:f>
        <s:v>0</s:v>
      </s:c>
      <s:c r="BB37" s="96">
        <s:f>SUMIFS(BB4:BB34,$C$4:$C$34,"Да")</s:f>
        <s:v>0</s:v>
      </s:c>
      <s:c r="BC37" s="91">
        <s:f>SUMIFS(BC4:BC34,$C$4:$C$34,"Да")</s:f>
        <s:v>1</s:v>
      </s:c>
      <s:c r="BD37" s="1">
        <s:f>SUMIFS(BD4:BD34,$C$4:$C$34,"Да")</s:f>
        <s:v>0</s:v>
      </s:c>
      <s:c r="BE37" s="90">
        <s:f>SUMIFS(BE4:BE34,$C$4:$C$34,"Да")</s:f>
        <s:v>0</s:v>
      </s:c>
      <s:c r="BF37" s="95">
        <s:f>SUMIFS(BF4:BF34,$C$4:$C$34,"Да")</s:f>
        <s:v>1</s:v>
      </s:c>
      <s:c r="BG37" s="1">
        <s:f>SUMIFS(BG4:BG34,$C$4:$C$34,"Да")</s:f>
        <s:v>0</s:v>
      </s:c>
      <s:c r="BH37" s="96">
        <s:f>SUMIFS(BH4:BH34,$C$4:$C$34,"Да")</s:f>
        <s:v>0</s:v>
      </s:c>
      <s:c r="BI37" s="91">
        <s:f>SUMIFS(BI4:BI34,$C$4:$C$34,"Да")</s:f>
        <s:v>0</s:v>
      </s:c>
      <s:c r="BJ37" s="1">
        <s:f>SUMIFS(BJ4:BJ34,$C$4:$C$34,"Да")</s:f>
        <s:v>0</s:v>
      </s:c>
      <s:c r="BK37" s="90">
        <s:f>SUMIFS(BK4:BK34,$C$4:$C$34,"Да")</s:f>
        <s:v>0</s:v>
      </s:c>
      <s:c r="BL37" s="95">
        <s:f>SUMIFS(BL4:BL34,$C$4:$C$34,"Да")</s:f>
        <s:v>0</s:v>
      </s:c>
      <s:c r="BM37" s="1">
        <s:f>SUMIFS(BM4:BM34,$C$4:$C$34,"Да")</s:f>
        <s:v>0</s:v>
      </s:c>
      <s:c r="BN37" s="96">
        <s:f>SUMIFS(BN4:BN34,$C$4:$C$34,"Да")</s:f>
        <s:v>0</s:v>
      </s:c>
      <s:c r="BO37" s="91">
        <s:f>SUMIFS(BO4:BO34,$C$4:$C$34,"Да")</s:f>
        <s:v>1</s:v>
      </s:c>
      <s:c r="BP37" s="1">
        <s:f>SUMIFS(BP4:BP34,$C$4:$C$34,"Да")</s:f>
        <s:v>0</s:v>
      </s:c>
      <s:c r="BQ37" s="90">
        <s:f>SUMIFS(BQ4:BQ34,$C$4:$C$34,"Да")</s:f>
        <s:v>0</s:v>
      </s:c>
      <s:c r="BR37" s="95">
        <s:f>SUMIFS(BR4:BR34,$C$4:$C$34,"Да")</s:f>
        <s:v>0</s:v>
      </s:c>
      <s:c r="BS37" s="1">
        <s:f>SUMIFS(BS4:BS34,$C$4:$C$34,"Да")</s:f>
        <s:v>0</s:v>
      </s:c>
      <s:c r="BT37" s="96">
        <s:f>SUMIFS(BT4:BT34,$C$4:$C$34,"Да")</s:f>
        <s:v>0</s:v>
      </s:c>
      <s:c r="BU37" s="91">
        <s:f>SUMIFS(BU4:BU34,$C$4:$C$34,"Да")</s:f>
        <s:v>0</s:v>
      </s:c>
      <s:c r="BV37" s="1">
        <s:f>SUMIFS(BV4:BV34,$C$4:$C$34,"Да")</s:f>
        <s:v>0</s:v>
      </s:c>
      <s:c r="BW37" s="90">
        <s:f>SUMIFS(BW4:BW34,$C$4:$C$34,"Да")</s:f>
        <s:v>0</s:v>
      </s:c>
      <s:c r="BX37" s="95">
        <s:f>SUMIFS(BX4:BX34,$C$4:$C$34,"Да")</s:f>
        <s:v>0</s:v>
      </s:c>
      <s:c r="BY37" s="1">
        <s:f>SUMIFS(BY4:BY34,$C$4:$C$34,"Да")</s:f>
        <s:v>0</s:v>
      </s:c>
      <s:c r="BZ37" s="96">
        <s:f>SUMIFS(BZ4:BZ34,$C$4:$C$34,"Да")</s:f>
        <s:v>0</s:v>
      </s:c>
      <s:c r="CA37" s="91">
        <s:f>SUMIFS(CA4:CA34,$C$4:$C$34,"Да")</s:f>
        <s:v>0</s:v>
      </s:c>
      <s:c r="CB37" s="1">
        <s:f>SUMIFS(CB4:CB34,$C$4:$C$34,"Да")</s:f>
        <s:v>0</s:v>
      </s:c>
      <s:c r="CC37" s="90">
        <s:f>SUMIFS(CC4:CC34,$C$4:$C$34,"Да")</s:f>
        <s:v>0</s:v>
      </s:c>
      <s:c r="CD37" s="95">
        <s:f>SUMIFS(CD4:CD34,$C$4:$C$34,"Да")</s:f>
        <s:v>0</s:v>
      </s:c>
      <s:c r="CE37" s="1">
        <s:f>SUMIFS(CE4:CE34,$C$4:$C$34,"Да")</s:f>
        <s:v>0</s:v>
      </s:c>
      <s:c r="CF37" s="96">
        <s:f>SUMIFS(CF4:CF34,$C$4:$C$34,"Да")</s:f>
        <s:v>0</s:v>
      </s:c>
      <s:c r="CG37" s="91">
        <s:f>SUMIFS(CG4:CG34,$C$4:$C$34,"Да")</s:f>
        <s:v>0</s:v>
      </s:c>
      <s:c r="CH37" s="1">
        <s:f>SUMIFS(CH4:CH34,$C$4:$C$34,"Да")</s:f>
        <s:v>0</s:v>
      </s:c>
      <s:c r="CI37" s="90">
        <s:f>SUMIFS(CI4:CI34,$C$4:$C$34,"Да")</s:f>
        <s:v>0</s:v>
      </s:c>
      <s:c r="CJ37" s="95">
        <s:f>SUMIFS(CJ4:CJ34,$C$4:$C$34,"Да")</s:f>
        <s:v>0</s:v>
      </s:c>
      <s:c r="CK37" s="1">
        <s:f>SUMIFS(CK4:CK34,$C$4:$C$34,"Да")</s:f>
        <s:v>0</s:v>
      </s:c>
      <s:c r="CL37" s="96">
        <s:f>SUMIFS(CL4:CL34,$C$4:$C$34,"Да")</s:f>
        <s:v>0</s:v>
      </s:c>
      <s:c r="CM37" s="91">
        <s:f>SUMIFS(CM4:CM34,$C$4:$C$34,"Да")</s:f>
        <s:v>0</s:v>
      </s:c>
      <s:c r="CN37" s="1">
        <s:f>SUMIFS(CN4:CN34,$C$4:$C$34,"Да")</s:f>
        <s:v>0</s:v>
      </s:c>
      <s:c r="CO37" s="90">
        <s:f>SUMIFS(CO4:CO34,$C$4:$C$34,"Да")</s:f>
        <s:v>0</s:v>
      </s:c>
      <s:c r="CP37" s="95">
        <s:f>SUMIFS(CP4:CP34,$C$4:$C$34,"Да")</s:f>
        <s:v>0</s:v>
      </s:c>
      <s:c r="CQ37" s="1">
        <s:f>SUMIFS(CQ4:CQ34,$C$4:$C$34,"Да")</s:f>
        <s:v>0</s:v>
      </s:c>
      <s:c r="CR37" s="96">
        <s:f>SUMIFS(CR4:CR34,$C$4:$C$34,"Да")</s:f>
        <s:v>0</s:v>
      </s:c>
      <s:c r="CS37" s="83" t="s">
        <s:v>23</s:v>
      </s:c>
      <s:c r="CT37" s="72" t="s">
        <s:v>24</s:v>
      </s:c>
      <s:c r="CU37" s="72" t="s">
        <s:v>25</s:v>
      </s:c>
      <s:c r="CV37" s="109" t="s">
        <s:v>39</s:v>
      </s:c>
      <s:c r="CW37" s="111" t="s">
        <s:v>40</s:v>
      </s:c>
      <s:c r="CX37" s="111" t="s">
        <s:v>26</s:v>
      </s:c>
      <s:c r="CY37" s="111" t="s">
        <s:v>29</s:v>
      </s:c>
      <s:c r="DB37" s="128">
        <s:f>CW41-CW36</s:f>
        <s:v>0</s:v>
      </s:c>
      <s:c r="DC37" s="128">
        <s:f>CY42-CY36</s:f>
        <s:v>0</s:v>
      </s:c>
    </s:row>
    <s:row r="38" ht="23.4">
      <s:c r="B38" s="73" t="s">
        <s:v>32</s:v>
      </s:c>
      <s:c r="D38" s="95">
        <s:f>SUMIFS(D4:D34,$C$4:$C$34,"Нет")</s:f>
        <s:v>0</s:v>
      </s:c>
      <s:c r="E38" s="1">
        <s:f>SUMIFS(E4:E34,$C$4:$C$34,"Нет")</s:f>
        <s:v>0</s:v>
      </s:c>
      <s:c r="F38" s="96">
        <s:f>SUMIFS(F4:F34,$C$4:$C$34,"Нет")</s:f>
        <s:v>0</s:v>
      </s:c>
      <s:c r="G38" s="91">
        <s:f>SUMIFS(G4:G34,$C$4:$C$34,"Нет")</s:f>
        <s:v>0</s:v>
      </s:c>
      <s:c r="H38" s="1">
        <s:f>SUMIFS(H4:H34,$C$4:$C$34,"Нет")</s:f>
        <s:v>0</s:v>
      </s:c>
      <s:c r="I38" s="90">
        <s:f>SUMIFS(I4:I34,$C$4:$C$34,"Нет")</s:f>
        <s:v>0</s:v>
      </s:c>
      <s:c r="J38" s="95">
        <s:f>SUMIFS(J4:J34,$C$4:$C$34,"Нет")</s:f>
        <s:v>0</s:v>
      </s:c>
      <s:c r="K38" s="1">
        <s:f>SUMIFS(K4:K34,$C$4:$C$34,"Нет")</s:f>
        <s:v>2</s:v>
      </s:c>
      <s:c r="L38" s="96">
        <s:f>SUMIFS(L4:L34,$C$4:$C$34,"Нет")</s:f>
        <s:v>4</s:v>
      </s:c>
      <s:c r="M38" s="91">
        <s:f>SUMIFS(M4:M34,$C$4:$C$34,"Нет")</s:f>
        <s:v>4</s:v>
      </s:c>
      <s:c r="N38" s="1">
        <s:f>SUMIFS(N4:N34,$C$4:$C$34,"Нет")</s:f>
        <s:v>4</s:v>
      </s:c>
      <s:c r="O38" s="90">
        <s:f>SUMIFS(O4:O34,$C$4:$C$34,"Нет")</s:f>
        <s:v>4</s:v>
      </s:c>
      <s:c r="P38" s="95">
        <s:f>SUMIFS(P4:P34,$C$4:$C$34,"Нет")</s:f>
        <s:v>4</s:v>
      </s:c>
      <s:c r="Q38" s="1">
        <s:f>SUMIFS(Q4:Q34,$C$4:$C$34,"Нет")</s:f>
        <s:v>5.3</s:v>
      </s:c>
      <s:c r="R38" s="96">
        <s:f>SUMIFS(R4:R34,$C$4:$C$34,"Нет")</s:f>
        <s:v>4</s:v>
      </s:c>
      <s:c r="S38" s="91">
        <s:f>SUMIFS(S4:S34,$C$4:$C$34,"Нет")</s:f>
        <s:v>5</s:v>
      </s:c>
      <s:c r="T38" s="1">
        <s:f>SUMIFS(T4:T34,$C$4:$C$34,"Нет")</s:f>
        <s:v>5.7</s:v>
      </s:c>
      <s:c r="U38" s="90">
        <s:f>SUMIFS(U4:U34,$C$4:$C$34,"Нет")</s:f>
        <s:v>4</s:v>
      </s:c>
      <s:c r="V38" s="95">
        <s:f>SUMIFS(V4:V34,$C$4:$C$34,"Нет")</s:f>
        <s:v>6</s:v>
      </s:c>
      <s:c r="W38" s="1">
        <s:f>SUMIFS(W4:W34,$C$4:$C$34,"Нет")</s:f>
        <s:v>4</s:v>
      </s:c>
      <s:c r="X38" s="96">
        <s:f>SUMIFS(X4:X34,$C$4:$C$34,"Нет")</s:f>
        <s:v>4</s:v>
      </s:c>
      <s:c r="Y38" s="91">
        <s:f>SUMIFS(Y4:Y34,$C$4:$C$34,"Нет")</s:f>
        <s:v>4</s:v>
      </s:c>
      <s:c r="Z38" s="1">
        <s:f>SUMIFS(Z4:Z34,$C$4:$C$34,"Нет")</s:f>
        <s:v>0</s:v>
      </s:c>
      <s:c r="AA38" s="90">
        <s:f>SUMIFS(AA4:AA34,$C$4:$C$34,"Нет")</s:f>
        <s:v>0</s:v>
      </s:c>
      <s:c r="AB38" s="95">
        <s:f>SUMIFS(AB4:AB34,$C$4:$C$34,"Нет")</s:f>
        <s:v>0</s:v>
      </s:c>
      <s:c r="AC38" s="1">
        <s:f>SUMIFS(AC4:AC34,$C$4:$C$34,"Нет")</s:f>
        <s:v>0</s:v>
      </s:c>
      <s:c r="AD38" s="96">
        <s:f>SUMIFS(AD4:AD34,$C$4:$C$34,"Нет")</s:f>
        <s:v>0</s:v>
      </s:c>
      <s:c r="AE38" s="91">
        <s:f>SUMIFS(AE4:AE34,$C$4:$C$34,"Нет")</s:f>
        <s:v>0</s:v>
      </s:c>
      <s:c r="AF38" s="1">
        <s:f>SUMIFS(AF4:AF34,$C$4:$C$34,"Нет")</s:f>
        <s:v>0</s:v>
      </s:c>
      <s:c r="AG38" s="90">
        <s:f>SUMIFS(AG4:AG34,$C$4:$C$34,"Нет")</s:f>
        <s:v>35</s:v>
      </s:c>
      <s:c r="AH38" s="95">
        <s:f>SUMIFS(AH4:AH34,$C$4:$C$34,"Нет")</s:f>
        <s:v>36</s:v>
      </s:c>
      <s:c r="AI38" s="1">
        <s:f>SUMIFS(AI4:AI34,$C$4:$C$34,"Нет")</s:f>
        <s:v>21</s:v>
      </s:c>
      <s:c r="AJ38" s="96">
        <s:f>SUMIFS(AJ4:AJ34,$C$4:$C$34,"Нет")</s:f>
        <s:v>35</s:v>
      </s:c>
      <s:c r="AK38" s="91">
        <s:f>SUMIFS(AK4:AK34,$C$4:$C$34,"Нет")</s:f>
        <s:v>35</s:v>
      </s:c>
      <s:c r="AL38" s="1">
        <s:f>SUMIFS(AL4:AL34,$C$4:$C$34,"Нет")</s:f>
        <s:v>21</s:v>
      </s:c>
      <s:c r="AM38" s="90">
        <s:f>SUMIFS(AM4:AM34,$C$4:$C$34,"Нет")</s:f>
        <s:v>35</s:v>
      </s:c>
      <s:c r="AN38" s="95">
        <s:f>SUMIFS(AN4:AN34,$C$4:$C$34,"Нет")</s:f>
        <s:v>37</s:v>
      </s:c>
      <s:c r="AO38" s="1">
        <s:f>SUMIFS(AO4:AO34,$C$4:$C$34,"Нет")</s:f>
        <s:v>21</s:v>
      </s:c>
      <s:c r="AP38" s="96">
        <s:f>SUMIFS(AP4:AP34,$C$4:$C$34,"Нет")</s:f>
        <s:v>35</s:v>
      </s:c>
      <s:c r="AQ38" s="91">
        <s:f>SUMIFS(AQ4:AQ34,$C$4:$C$34,"Нет")</s:f>
        <s:v>37</s:v>
      </s:c>
      <s:c r="AR38" s="1">
        <s:f>SUMIFS(AR4:AR34,$C$4:$C$34,"Нет")</s:f>
        <s:v>21</s:v>
      </s:c>
      <s:c r="AS38" s="90">
        <s:f>SUMIFS(AS4:AS34,$C$4:$C$34,"Нет")</s:f>
        <s:v>21</s:v>
      </s:c>
      <s:c r="AT38" s="95">
        <s:f>SUMIFS(AT4:AT34,$C$4:$C$34,"Нет")</s:f>
        <s:v>22</s:v>
      </s:c>
      <s:c r="AU38" s="1">
        <s:f>SUMIFS(AU4:AU34,$C$4:$C$34,"Нет")</s:f>
        <s:v>0</s:v>
      </s:c>
      <s:c r="AV38" s="96">
        <s:f>SUMIFS(AV4:AV34,$C$4:$C$34,"Нет")</s:f>
        <s:v>0</s:v>
      </s:c>
      <s:c r="AW38" s="91">
        <s:f>SUMIFS(AW4:AW34,$C$4:$C$34,"Нет")</s:f>
        <s:v>2</s:v>
      </s:c>
      <s:c r="AX38" s="1">
        <s:f>SUMIFS(AX4:AX34,$C$4:$C$34,"Нет")</s:f>
        <s:v>0</s:v>
      </s:c>
      <s:c r="AY38" s="90">
        <s:f>SUMIFS(AY4:AY34,$C$4:$C$34,"Нет")</s:f>
        <s:v>0</s:v>
      </s:c>
      <s:c r="AZ38" s="95">
        <s:f>SUMIFS(AZ4:AZ34,$C$4:$C$34,"Нет")</s:f>
        <s:v>5</s:v>
      </s:c>
      <s:c r="BA38" s="1">
        <s:f>SUMIFS(BA4:BA34,$C$4:$C$34,"Нет")</s:f>
        <s:v>0</s:v>
      </s:c>
      <s:c r="BB38" s="96">
        <s:f>SUMIFS(BB4:BB34,$C$4:$C$34,"Нет")</s:f>
        <s:v>0</s:v>
      </s:c>
      <s:c r="BC38" s="91">
        <s:f>SUMIFS(BC4:BC34,$C$4:$C$34,"Нет")</s:f>
        <s:v>3</s:v>
      </s:c>
      <s:c r="BD38" s="1">
        <s:f>SUMIFS(BD4:BD34,$C$4:$C$34,"Нет")</s:f>
        <s:v>0</s:v>
      </s:c>
      <s:c r="BE38" s="90">
        <s:f>SUMIFS(BE4:BE34,$C$4:$C$34,"Нет")</s:f>
        <s:v>0</s:v>
      </s:c>
      <s:c r="BF38" s="95">
        <s:f>SUMIFS(BF4:BF34,$C$4:$C$34,"Нет")</s:f>
        <s:v>3</s:v>
      </s:c>
      <s:c r="BG38" s="1">
        <s:f>SUMIFS(BG4:BG34,$C$4:$C$34,"Нет")</s:f>
        <s:v>19</s:v>
      </s:c>
      <s:c r="BH38" s="96">
        <s:f>SUMIFS(BH4:BH34,$C$4:$C$34,"Нет")</s:f>
        <s:v>19</s:v>
      </s:c>
      <s:c r="BI38" s="91">
        <s:f>SUMIFS(BI4:BI34,$C$4:$C$34,"Нет")</s:f>
        <s:v>24</s:v>
      </s:c>
      <s:c r="BJ38" s="1">
        <s:f>SUMIFS(BJ4:BJ34,$C$4:$C$34,"Нет")</s:f>
        <s:v>19</s:v>
      </s:c>
      <s:c r="BK38" s="90">
        <s:f>SUMIFS(BK4:BK34,$C$4:$C$34,"Нет")</s:f>
        <s:v>19</s:v>
      </s:c>
      <s:c r="BL38" s="95">
        <s:f>SUMIFS(BL4:BL34,$C$4:$C$34,"Нет")</s:f>
        <s:v>21</s:v>
      </s:c>
      <s:c r="BM38" s="1">
        <s:f>SUMIFS(BM4:BM34,$C$4:$C$34,"Нет")</s:f>
        <s:v>19</s:v>
      </s:c>
      <s:c r="BN38" s="96">
        <s:f>SUMIFS(BN4:BN34,$C$4:$C$34,"Нет")</s:f>
        <s:v>19</s:v>
      </s:c>
      <s:c r="BO38" s="91">
        <s:f>SUMIFS(BO4:BO34,$C$4:$C$34,"Нет")</s:f>
        <s:v>22</s:v>
      </s:c>
      <s:c r="BP38" s="1">
        <s:f>SUMIFS(BP4:BP34,$C$4:$C$34,"Нет")</s:f>
        <s:v>19</s:v>
      </s:c>
      <s:c r="BQ38" s="90">
        <s:f>SUMIFS(BQ4:BQ34,$C$4:$C$34,"Нет")</s:f>
        <s:v>19</s:v>
      </s:c>
      <s:c r="BR38" s="95">
        <s:f>SUMIFS(BR4:BR34,$C$4:$C$34,"Нет")</s:f>
        <s:v>22</s:v>
      </s:c>
      <s:c r="BS38" s="1">
        <s:f>SUMIFS(BS4:BS34,$C$4:$C$34,"Нет")</s:f>
        <s:v>19</s:v>
      </s:c>
      <s:c r="BT38" s="96">
        <s:f>SUMIFS(BT4:BT34,$C$4:$C$34,"Нет")</s:f>
        <s:v>19</s:v>
      </s:c>
      <s:c r="BU38" s="91">
        <s:f>SUMIFS(BU4:BU34,$C$4:$C$34,"Нет")</s:f>
        <s:v>3</s:v>
      </s:c>
      <s:c r="BV38" s="1">
        <s:f>SUMIFS(BV4:BV34,$C$4:$C$34,"Нет")</s:f>
        <s:v>0</s:v>
      </s:c>
      <s:c r="BW38" s="90">
        <s:f>SUMIFS(BW4:BW34,$C$4:$C$34,"Нет")</s:f>
        <s:v>0</s:v>
      </s:c>
      <s:c r="BX38" s="95">
        <s:f>SUMIFS(BX4:BX34,$C$4:$C$34,"Нет")</s:f>
        <s:v>0</s:v>
      </s:c>
      <s:c r="BY38" s="1">
        <s:f>SUMIFS(BY4:BY34,$C$4:$C$34,"Нет")</s:f>
        <s:v>0</s:v>
      </s:c>
      <s:c r="BZ38" s="96">
        <s:f>SUMIFS(BZ4:BZ34,$C$4:$C$34,"Нет")</s:f>
        <s:v>0</s:v>
      </s:c>
      <s:c r="CA38" s="91">
        <s:f>SUMIFS(CA4:CA34,$C$4:$C$34,"Нет")</s:f>
        <s:v>0</s:v>
      </s:c>
      <s:c r="CB38" s="1">
        <s:f>SUMIFS(CB4:CB34,$C$4:$C$34,"Нет")</s:f>
        <s:v>0</s:v>
      </s:c>
      <s:c r="CC38" s="90">
        <s:f>SUMIFS(CC4:CC34,$C$4:$C$34,"Нет")</s:f>
        <s:v>0</s:v>
      </s:c>
      <s:c r="CD38" s="95">
        <s:f>SUMIFS(CD4:CD34,$C$4:$C$34,"Нет")</s:f>
        <s:v>3</s:v>
      </s:c>
      <s:c r="CE38" s="1">
        <s:f>SUMIFS(CE4:CE34,$C$4:$C$34,"Нет")</s:f>
        <s:v>0</s:v>
      </s:c>
      <s:c r="CF38" s="96">
        <s:f>SUMIFS(CF4:CF34,$C$4:$C$34,"Нет")</s:f>
        <s:v>0</s:v>
      </s:c>
      <s:c r="CG38" s="91">
        <s:f>SUMIFS(CG4:CG34,$C$4:$C$34,"Нет")</s:f>
        <s:v>3</s:v>
      </s:c>
      <s:c r="CH38" s="1">
        <s:f>SUMIFS(CH4:CH34,$C$4:$C$34,"Нет")</s:f>
        <s:v>0</s:v>
      </s:c>
      <s:c r="CI38" s="90">
        <s:f>SUMIFS(CI4:CI34,$C$4:$C$34,"Нет")</s:f>
        <s:v>0</s:v>
      </s:c>
      <s:c r="CJ38" s="95">
        <s:f>SUMIFS(CJ4:CJ34,$C$4:$C$34,"Нет")</s:f>
        <s:v>0</s:v>
      </s:c>
      <s:c r="CK38" s="1">
        <s:f>SUMIFS(CK4:CK34,$C$4:$C$34,"Нет")</s:f>
        <s:v>0</s:v>
      </s:c>
      <s:c r="CL38" s="96">
        <s:f>SUMIFS(CL4:CL34,$C$4:$C$34,"Нет")</s:f>
        <s:v>0</s:v>
      </s:c>
      <s:c r="CM38" s="91">
        <s:f>SUMIFS(CM4:CM34,$C$4:$C$34,"Нет")</s:f>
        <s:v>0</s:v>
      </s:c>
      <s:c r="CN38" s="1">
        <s:f>SUMIFS(CN4:CN34,$C$4:$C$34,"Нет")</s:f>
        <s:v>0</s:v>
      </s:c>
      <s:c r="CO38" s="90">
        <s:f>SUMIFS(CO4:CO34,$C$4:$C$34,"Нет")</s:f>
        <s:v>0</s:v>
      </s:c>
      <s:c r="CP38" s="95">
        <s:f>SUMIFS(CP4:CP34,$C$4:$C$34,"Нет")</s:f>
        <s:v>0</s:v>
      </s:c>
      <s:c r="CQ38" s="1">
        <s:f>SUMIFS(CQ4:CQ34,$C$4:$C$34,"Нет")</s:f>
        <s:v>0</s:v>
      </s:c>
      <s:c r="CR38" s="96">
        <s:f>SUMIFS(CR4:CR34,$C$4:$C$34,"Нет")</s:f>
        <s:v>0</s:v>
      </s:c>
      <s:c r="CW38" s="114"/>
      <s:c r="CX38" s="114"/>
      <s:c r="CY38" s="112"/>
    </s:row>
    <s:row r="39" ht="24">
      <s:c r="B39" s="73" t="s">
        <s:v>33</s:v>
      </s:c>
      <s:c r="D39" s="99">
        <s:f>SUMIFS(D4:D34,$C$4:$C$34,"Налич")</s:f>
        <s:v>0</s:v>
      </s:c>
      <s:c r="E39" s="100">
        <s:f>SUMIFS(E4:E34,$C$4:$C$34,"Налич")</s:f>
        <s:v>0</s:v>
      </s:c>
      <s:c r="F39" s="101">
        <s:f>SUMIFS(F4:F34,$C$4:$C$34,"Налич")</s:f>
        <s:v>0</s:v>
      </s:c>
      <s:c r="G39" s="102">
        <s:f>SUMIFS(G4:G34,$C$4:$C$34,"Налич")</s:f>
        <s:v>0</s:v>
      </s:c>
      <s:c r="H39" s="100">
        <s:f>SUMIFS(H4:H34,$C$4:$C$34,"Налич")</s:f>
        <s:v>0</s:v>
      </s:c>
      <s:c r="I39" s="103">
        <s:f>SUMIFS(I4:I34,$C$4:$C$34,"Налич")</s:f>
        <s:v>0</s:v>
      </s:c>
      <s:c r="J39" s="99">
        <s:f>SUMIFS(J4:J34,$C$4:$C$34,"Налич")</s:f>
        <s:v>0</s:v>
      </s:c>
      <s:c r="K39" s="100">
        <s:f>SUMIFS(K4:K34,$C$4:$C$34,"Налич")</s:f>
        <s:v>13.45</s:v>
      </s:c>
      <s:c r="L39" s="101">
        <s:f>SUMIFS(L4:L34,$C$4:$C$34,"Налич")</s:f>
        <s:v>2</s:v>
      </s:c>
      <s:c r="M39" s="102">
        <s:f>SUMIFS(M4:M34,$C$4:$C$34,"Налич")</s:f>
        <s:v>2</s:v>
      </s:c>
      <s:c r="N39" s="100">
        <s:f>SUMIFS(N4:N34,$C$4:$C$34,"Налич")</s:f>
        <s:v>10.5</s:v>
      </s:c>
      <s:c r="O39" s="103">
        <s:f>SUMIFS(O4:O34,$C$4:$C$34,"Налич")</s:f>
        <s:v>8</s:v>
      </s:c>
      <s:c r="P39" s="99">
        <s:f>SUMIFS(P4:P34,$C$4:$C$34,"Налич")</s:f>
        <s:v>9</s:v>
      </s:c>
      <s:c r="Q39" s="100">
        <s:f>SUMIFS(Q4:Q34,$C$4:$C$34,"Налич")</s:f>
        <s:v>8</s:v>
      </s:c>
      <s:c r="R39" s="101">
        <s:f>SUMIFS(R4:R34,$C$4:$C$34,"Налич")</s:f>
        <s:v>7</s:v>
      </s:c>
      <s:c r="S39" s="102">
        <s:f>SUMIFS(S4:S34,$C$4:$C$34,"Налич")</s:f>
        <s:v>8</s:v>
      </s:c>
      <s:c r="T39" s="100">
        <s:f>SUMIFS(T4:T34,$C$4:$C$34,"Налич")</s:f>
        <s:v>7</s:v>
      </s:c>
      <s:c r="U39" s="103">
        <s:f>SUMIFS(U4:U34,$C$4:$C$34,"Налич")</s:f>
        <s:v>7</s:v>
      </s:c>
      <s:c r="V39" s="99">
        <s:f>SUMIFS(V4:V34,$C$4:$C$34,"Налич")</s:f>
        <s:v>7</s:v>
      </s:c>
      <s:c r="W39" s="100">
        <s:f>SUMIFS(W4:W34,$C$4:$C$34,"Налич")</s:f>
        <s:v>4.1</s:v>
      </s:c>
      <s:c r="X39" s="101">
        <s:f>SUMIFS(X4:X34,$C$4:$C$34,"Налич")</s:f>
        <s:v>2</s:v>
      </s:c>
      <s:c r="Y39" s="102">
        <s:f>SUMIFS(Y4:Y34,$C$4:$C$34,"Налич")</s:f>
        <s:v>2</s:v>
      </s:c>
      <s:c r="Z39" s="100">
        <s:f>SUMIFS(Z4:Z34,$C$4:$C$34,"Налич")</s:f>
        <s:v>0</s:v>
      </s:c>
      <s:c r="AA39" s="103">
        <s:f>SUMIFS(AA4:AA34,$C$4:$C$34,"Налич")</s:f>
        <s:v>0</s:v>
      </s:c>
      <s:c r="AB39" s="99">
        <s:f>SUMIFS(AB4:AB34,$C$4:$C$34,"Налич")</s:f>
        <s:v>0</s:v>
      </s:c>
      <s:c r="AC39" s="100">
        <s:f>SUMIFS(AC4:AC34,$C$4:$C$34,"Налич")</s:f>
        <s:v>0</s:v>
      </s:c>
      <s:c r="AD39" s="101">
        <s:f>SUMIFS(AD4:AD34,$C$4:$C$34,"Налич")</s:f>
        <s:v>0</s:v>
      </s:c>
      <s:c r="AE39" s="102">
        <s:f>SUMIFS(AE4:AE34,$C$4:$C$34,"Налич")</s:f>
        <s:v>0</s:v>
      </s:c>
      <s:c r="AF39" s="100">
        <s:f>SUMIFS(AF4:AF34,$C$4:$C$34,"Налич")</s:f>
        <s:v>0</s:v>
      </s:c>
      <s:c r="AG39" s="103">
        <s:f>SUMIFS(AG4:AG34,$C$4:$C$34,"Налич")</s:f>
        <s:v>0</s:v>
      </s:c>
      <s:c r="AH39" s="99">
        <s:f>SUMIFS(AH4:AH34,$C$4:$C$34,"Налич")</s:f>
        <s:v>0</s:v>
      </s:c>
      <s:c r="AI39" s="100">
        <s:f>SUMIFS(AI4:AI34,$C$4:$C$34,"Налич")</s:f>
        <s:v>0</s:v>
      </s:c>
      <s:c r="AJ39" s="101">
        <s:f>SUMIFS(AJ4:AJ34,$C$4:$C$34,"Налич")</s:f>
        <s:v>0</s:v>
      </s:c>
      <s:c r="AK39" s="102">
        <s:f>SUMIFS(AK4:AK34,$C$4:$C$34,"Налич")</s:f>
        <s:v>1</s:v>
      </s:c>
      <s:c r="AL39" s="100">
        <s:f>SUMIFS(AL4:AL34,$C$4:$C$34,"Налич")</s:f>
        <s:v>0</s:v>
      </s:c>
      <s:c r="AM39" s="103">
        <s:f>SUMIFS(AM4:AM34,$C$4:$C$34,"Налич")</s:f>
        <s:v>0</s:v>
      </s:c>
      <s:c r="AN39" s="99">
        <s:f>SUMIFS(AN4:AN34,$C$4:$C$34,"Налич")</s:f>
        <s:v>1</s:v>
      </s:c>
      <s:c r="AO39" s="100">
        <s:f>SUMIFS(AO4:AO34,$C$4:$C$34,"Налич")</s:f>
        <s:v>0</s:v>
      </s:c>
      <s:c r="AP39" s="101">
        <s:f>SUMIFS(AP4:AP34,$C$4:$C$34,"Налич")</s:f>
        <s:v>0</s:v>
      </s:c>
      <s:c r="AQ39" s="102">
        <s:f>SUMIFS(AQ4:AQ34,$C$4:$C$34,"Налич")</s:f>
        <s:v>1</s:v>
      </s:c>
      <s:c r="AR39" s="100">
        <s:f>SUMIFS(AR4:AR34,$C$4:$C$34,"Налич")</s:f>
        <s:v>0</s:v>
      </s:c>
      <s:c r="AS39" s="103">
        <s:f>SUMIFS(AS4:AS34,$C$4:$C$34,"Налич")</s:f>
        <s:v>0</s:v>
      </s:c>
      <s:c r="AT39" s="99">
        <s:f>SUMIFS(AT4:AT34,$C$4:$C$34,"Налич")</s:f>
        <s:v>0</s:v>
      </s:c>
      <s:c r="AU39" s="100">
        <s:f>SUMIFS(AU4:AU34,$C$4:$C$34,"Налич")</s:f>
        <s:v>0</s:v>
      </s:c>
      <s:c r="AV39" s="101">
        <s:f>SUMIFS(AV4:AV34,$C$4:$C$34,"Налич")</s:f>
        <s:v>0</s:v>
      </s:c>
      <s:c r="AW39" s="102">
        <s:f>SUMIFS(AW4:AW34,$C$4:$C$34,"Налич")</s:f>
        <s:v>0</s:v>
      </s:c>
      <s:c r="AX39" s="100">
        <s:f>SUMIFS(AX4:AX34,$C$4:$C$34,"Налич")</s:f>
        <s:v>0</s:v>
      </s:c>
      <s:c r="AY39" s="103">
        <s:f>SUMIFS(AY4:AY34,$C$4:$C$34,"Налич")</s:f>
        <s:v>0</s:v>
      </s:c>
      <s:c r="AZ39" s="99">
        <s:f>SUMIFS(AZ4:AZ34,$C$4:$C$34,"Налич")</s:f>
        <s:v>0</s:v>
      </s:c>
      <s:c r="BA39" s="100">
        <s:f>SUMIFS(BA4:BA34,$C$4:$C$34,"Налич")</s:f>
        <s:v>0</s:v>
      </s:c>
      <s:c r="BB39" s="101">
        <s:f>SUMIFS(BB4:BB34,$C$4:$C$34,"Налич")</s:f>
        <s:v>0</s:v>
      </s:c>
      <s:c r="BC39" s="102">
        <s:f>SUMIFS(BC4:BC34,$C$4:$C$34,"Налич")</s:f>
        <s:v>0</s:v>
      </s:c>
      <s:c r="BD39" s="100">
        <s:f>SUMIFS(BD4:BD34,$C$4:$C$34,"Налич")</s:f>
        <s:v>0</s:v>
      </s:c>
      <s:c r="BE39" s="103">
        <s:f>SUMIFS(BE4:BE34,$C$4:$C$34,"Налич")</s:f>
        <s:v>0</s:v>
      </s:c>
      <s:c r="BF39" s="99">
        <s:f>SUMIFS(BF4:BF34,$C$4:$C$34,"Налич")</s:f>
        <s:v>0</s:v>
      </s:c>
      <s:c r="BG39" s="100">
        <s:f>SUMIFS(BG4:BG34,$C$4:$C$34,"Налич")</s:f>
        <s:v>0</s:v>
      </s:c>
      <s:c r="BH39" s="101">
        <s:f>SUMIFS(BH4:BH34,$C$4:$C$34,"Налич")</s:f>
        <s:v>0</s:v>
      </s:c>
      <s:c r="BI39" s="102">
        <s:f>SUMIFS(BI4:BI34,$C$4:$C$34,"Налич")</s:f>
        <s:v>0</s:v>
      </s:c>
      <s:c r="BJ39" s="100">
        <s:f>SUMIFS(BJ4:BJ34,$C$4:$C$34,"Налич")</s:f>
        <s:v>0</s:v>
      </s:c>
      <s:c r="BK39" s="103">
        <s:f>SUMIFS(BK4:BK34,$C$4:$C$34,"Налич")</s:f>
        <s:v>0</s:v>
      </s:c>
      <s:c r="BL39" s="99">
        <s:f>SUMIFS(BL4:BL34,$C$4:$C$34,"Налич")</s:f>
        <s:v>0</s:v>
      </s:c>
      <s:c r="BM39" s="100">
        <s:f>SUMIFS(BM4:BM34,$C$4:$C$34,"Налич")</s:f>
        <s:v>0</s:v>
      </s:c>
      <s:c r="BN39" s="101">
        <s:f>SUMIFS(BN4:BN34,$C$4:$C$34,"Налич")</s:f>
        <s:v>0</s:v>
      </s:c>
      <s:c r="BO39" s="102">
        <s:f>SUMIFS(BO4:BO34,$C$4:$C$34,"Налич")</s:f>
        <s:v>0</s:v>
      </s:c>
      <s:c r="BP39" s="100">
        <s:f>SUMIFS(BP4:BP34,$C$4:$C$34,"Налич")</s:f>
        <s:v>0</s:v>
      </s:c>
      <s:c r="BQ39" s="103">
        <s:f>SUMIFS(BQ4:BQ34,$C$4:$C$34,"Налич")</s:f>
        <s:v>0</s:v>
      </s:c>
      <s:c r="BR39" s="99">
        <s:f>SUMIFS(BR4:BR34,$C$4:$C$34,"Налич")</s:f>
        <s:v>0</s:v>
      </s:c>
      <s:c r="BS39" s="100">
        <s:f>SUMIFS(BS4:BS34,$C$4:$C$34,"Налич")</s:f>
        <s:v>0</s:v>
      </s:c>
      <s:c r="BT39" s="101">
        <s:f>SUMIFS(BT4:BT34,$C$4:$C$34,"Налич")</s:f>
        <s:v>0</s:v>
      </s:c>
      <s:c r="BU39" s="102">
        <s:f>SUMIFS(BU4:BU34,$C$4:$C$34,"Налич")</s:f>
        <s:v>0</s:v>
      </s:c>
      <s:c r="BV39" s="100">
        <s:f>SUMIFS(BV4:BV34,$C$4:$C$34,"Налич")</s:f>
        <s:v>0</s:v>
      </s:c>
      <s:c r="BW39" s="103">
        <s:f>SUMIFS(BW4:BW34,$C$4:$C$34,"Налич")</s:f>
        <s:v>0</s:v>
      </s:c>
      <s:c r="BX39" s="99">
        <s:f>SUMIFS(BX4:BX34,$C$4:$C$34,"Налич")</s:f>
        <s:v>0</s:v>
      </s:c>
      <s:c r="BY39" s="100">
        <s:f>SUMIFS(BY4:BY34,$C$4:$C$34,"Налич")</s:f>
        <s:v>0</s:v>
      </s:c>
      <s:c r="BZ39" s="101">
        <s:f>SUMIFS(BZ4:BZ34,$C$4:$C$34,"Налич")</s:f>
        <s:v>0</s:v>
      </s:c>
      <s:c r="CA39" s="102">
        <s:f>SUMIFS(CA4:CA34,$C$4:$C$34,"Налич")</s:f>
        <s:v>0</s:v>
      </s:c>
      <s:c r="CB39" s="100">
        <s:f>SUMIFS(CB4:CB34,$C$4:$C$34,"Налич")</s:f>
        <s:v>0</s:v>
      </s:c>
      <s:c r="CC39" s="103">
        <s:f>SUMIFS(CC4:CC34,$C$4:$C$34,"Налич")</s:f>
        <s:v>0</s:v>
      </s:c>
      <s:c r="CD39" s="99">
        <s:f>SUMIFS(CD4:CD34,$C$4:$C$34,"Налич")</s:f>
        <s:v>0</s:v>
      </s:c>
      <s:c r="CE39" s="100">
        <s:f>SUMIFS(CE4:CE34,$C$4:$C$34,"Налич")</s:f>
        <s:v>0</s:v>
      </s:c>
      <s:c r="CF39" s="101">
        <s:f>SUMIFS(CF4:CF34,$C$4:$C$34,"Налич")</s:f>
        <s:v>0</s:v>
      </s:c>
      <s:c r="CG39" s="102">
        <s:f>SUMIFS(CG4:CG34,$C$4:$C$34,"Налич")</s:f>
        <s:v>0</s:v>
      </s:c>
      <s:c r="CH39" s="100">
        <s:f>SUMIFS(CH4:CH34,$C$4:$C$34,"Налич")</s:f>
        <s:v>0</s:v>
      </s:c>
      <s:c r="CI39" s="103">
        <s:f>SUMIFS(CI4:CI34,$C$4:$C$34,"Налич")</s:f>
        <s:v>0</s:v>
      </s:c>
      <s:c r="CJ39" s="99">
        <s:f>SUMIFS(CJ4:CJ34,$C$4:$C$34,"Налич")</s:f>
        <s:v>0</s:v>
      </s:c>
      <s:c r="CK39" s="100">
        <s:f>SUMIFS(CK4:CK34,$C$4:$C$34,"Налич")</s:f>
        <s:v>0</s:v>
      </s:c>
      <s:c r="CL39" s="101">
        <s:f>SUMIFS(CL4:CL34,$C$4:$C$34,"Налич")</s:f>
        <s:v>0</s:v>
      </s:c>
      <s:c r="CM39" s="102">
        <s:f>SUMIFS(CM4:CM34,$C$4:$C$34,"Налич")</s:f>
        <s:v>0</s:v>
      </s:c>
      <s:c r="CN39" s="100">
        <s:f>SUMIFS(CN4:CN34,$C$4:$C$34,"Налич")</s:f>
        <s:v>0</s:v>
      </s:c>
      <s:c r="CO39" s="103">
        <s:f>SUMIFS(CO4:CO34,$C$4:$C$34,"Налич")</s:f>
        <s:v>0</s:v>
      </s:c>
      <s:c r="CP39" s="99">
        <s:f>SUMIFS(CP4:CP34,$C$4:$C$34,"Налич")</s:f>
        <s:v>0</s:v>
      </s:c>
      <s:c r="CQ39" s="100">
        <s:f>SUMIFS(CQ4:CQ34,$C$4:$C$34,"Налич")</s:f>
        <s:v>0</s:v>
      </s:c>
      <s:c r="CR39" s="101">
        <s:f>SUMIFS(CR4:CR34,$C$4:$C$34,"Налич")</s:f>
        <s:v>0</s:v>
      </s:c>
      <s:c r="CW39" s="114"/>
      <s:c r="CX39" s="114"/>
      <s:c r="CY39" s="112"/>
    </s:row>
    <s:row r="40" ht="24">
      <s:c r="B40" s="73" t="s">
        <s:v>34</s:v>
      </s:c>
      <s:c r="D40" s="151">
        <s:f>D37*$D$45+E37*$D$46+F37*$D$47</s:f>
        <s:v>64560</s:v>
      </s:c>
      <s:c r="E40" s="152"/>
      <s:c r="F40" s="153"/>
      <s:c r="G40" s="154">
        <s:f>G37*$D$45+H37*$D$46+I37*$D$47</s:f>
        <s:v>21120</s:v>
      </s:c>
      <s:c r="H40" s="152"/>
      <s:c r="I40" s="155"/>
      <s:c r="J40" s="151">
        <s:f>J37*$D$45+K37*$D$46+L37*$D$47</s:f>
        <s:v>1920</s:v>
      </s:c>
      <s:c r="K40" s="152"/>
      <s:c r="L40" s="153"/>
      <s:c r="M40" s="154">
        <s:f>M37*$D$45+N37*$D$46+O37*$D$47</s:f>
        <s:v>2880</s:v>
      </s:c>
      <s:c r="N40" s="152"/>
      <s:c r="O40" s="155"/>
      <s:c r="P40" s="151">
        <s:f>P37*$D$45+Q37*$D$46+R37*$D$47</s:f>
        <s:v>2880</s:v>
      </s:c>
      <s:c r="Q40" s="152"/>
      <s:c r="R40" s="153"/>
      <s:c r="S40" s="154">
        <s:f>S37*$D$45+T37*$D$46+U37*$D$47</s:f>
        <s:v>1080</s:v>
      </s:c>
      <s:c r="T40" s="152"/>
      <s:c r="U40" s="155"/>
      <s:c r="V40" s="151">
        <s:f>V37*$D$45+W37*$D$46+X37*$D$47</s:f>
        <s:v>0</s:v>
      </s:c>
      <s:c r="W40" s="152"/>
      <s:c r="X40" s="153"/>
      <s:c r="Y40" s="154">
        <s:f>Y37*$D$45+Z37*$D$46+AA37*$D$47</s:f>
        <s:v>0</s:v>
      </s:c>
      <s:c r="Z40" s="152"/>
      <s:c r="AA40" s="155"/>
      <s:c r="AB40" s="151">
        <s:f>AB37*$D$45+AC37*$D$46+AD37*$D$47</s:f>
        <s:v>0</s:v>
      </s:c>
      <s:c r="AC40" s="152"/>
      <s:c r="AD40" s="153"/>
      <s:c r="AE40" s="154">
        <s:f>AE37*$D$45+AF37*$D$46+AG37*$D$47</s:f>
        <s:v>3060</s:v>
      </s:c>
      <s:c r="AF40" s="152"/>
      <s:c r="AG40" s="155"/>
      <s:c r="AH40" s="151">
        <s:f>AH37*$D$45+AI37*$D$46+AJ37*$D$47</s:f>
        <s:v>3840</s:v>
      </s:c>
      <s:c r="AI40" s="152"/>
      <s:c r="AJ40" s="153"/>
      <s:c r="AK40" s="154">
        <s:f>AK37*$D$45+AL37*$D$46+AM37*$D$47</s:f>
        <s:v>0</s:v>
      </s:c>
      <s:c r="AL40" s="152"/>
      <s:c r="AM40" s="155"/>
      <s:c r="AN40" s="151">
        <s:f>AN37*$D$45+AO37*$D$46+AP37*$D$47</s:f>
        <s:v>0</s:v>
      </s:c>
      <s:c r="AO40" s="152"/>
      <s:c r="AP40" s="153"/>
      <s:c r="AQ40" s="154">
        <s:f>AQ37*$D$45+AR37*$D$46+AS37*$D$47</s:f>
        <s:v>0</s:v>
      </s:c>
      <s:c r="AR40" s="152"/>
      <s:c r="AS40" s="155"/>
      <s:c r="AT40" s="151">
        <s:f>AT37*$D$45+AU37*$D$46+AV37*$D$47</s:f>
        <s:v>0</s:v>
      </s:c>
      <s:c r="AU40" s="152"/>
      <s:c r="AV40" s="153"/>
      <s:c r="AW40" s="154">
        <s:f>AW37*$D$45+AX37*$D$46+AY37*$D$47</s:f>
        <s:v>0</s:v>
      </s:c>
      <s:c r="AX40" s="152"/>
      <s:c r="AY40" s="155"/>
      <s:c r="AZ40" s="151">
        <s:f>AZ37*$D$45+BA37*$D$46+BB37*$D$47</s:f>
        <s:v>0</s:v>
      </s:c>
      <s:c r="BA40" s="152"/>
      <s:c r="BB40" s="153"/>
      <s:c r="BC40" s="154">
        <s:f>BC37*$D$45+BD37*$D$46+BE37*$D$47</s:f>
        <s:v>960</s:v>
      </s:c>
      <s:c r="BD40" s="152"/>
      <s:c r="BE40" s="155"/>
      <s:c r="BF40" s="151">
        <s:f>BF37*$D$45+BG37*$D$46+BH37*$D$47</s:f>
        <s:v>960</s:v>
      </s:c>
      <s:c r="BG40" s="152"/>
      <s:c r="BH40" s="153"/>
      <s:c r="BI40" s="154">
        <s:f>BI37*$D$45+BJ37*$D$46+BK37*$D$47</s:f>
        <s:v>0</s:v>
      </s:c>
      <s:c r="BJ40" s="152"/>
      <s:c r="BK40" s="155"/>
      <s:c r="BL40" s="151">
        <s:f>BL37*$D$45+BM37*$D$46+BN37*$D$47</s:f>
        <s:v>0</s:v>
      </s:c>
      <s:c r="BM40" s="152"/>
      <s:c r="BN40" s="153"/>
      <s:c r="BO40" s="154">
        <s:f>BO37*$D$45+BP37*$D$46+BQ37*$D$47</s:f>
        <s:v>960</s:v>
      </s:c>
      <s:c r="BP40" s="152"/>
      <s:c r="BQ40" s="155"/>
      <s:c r="BR40" s="151">
        <s:f>BR37*$D$45+BS37*$D$46+BT37*$D$47</s:f>
        <s:v>0</s:v>
      </s:c>
      <s:c r="BS40" s="152"/>
      <s:c r="BT40" s="153"/>
      <s:c r="BU40" s="154">
        <s:f>BU37*$D$45+BV37*$D$46+BW37*$D$47</s:f>
        <s:v>0</s:v>
      </s:c>
      <s:c r="BV40" s="152"/>
      <s:c r="BW40" s="155"/>
      <s:c r="BX40" s="151">
        <s:f>BX37*$D$45+BY37*$D$46+BZ37*$D$47</s:f>
        <s:v>0</s:v>
      </s:c>
      <s:c r="BY40" s="152"/>
      <s:c r="BZ40" s="153"/>
      <s:c r="CA40" s="154">
        <s:f>CA37*$D$45+CB37*$D$46+CC37*$D$47</s:f>
        <s:v>0</s:v>
      </s:c>
      <s:c r="CB40" s="152"/>
      <s:c r="CC40" s="155"/>
      <s:c r="CD40" s="151">
        <s:f>CD37*$D$45+CE37*$D$46+CF37*$D$47</s:f>
        <s:v>0</s:v>
      </s:c>
      <s:c r="CE40" s="152"/>
      <s:c r="CF40" s="153"/>
      <s:c r="CG40" s="154">
        <s:f>CG37*$D$45+CH37*$D$46+CI37*$D$47</s:f>
        <s:v>0</s:v>
      </s:c>
      <s:c r="CH40" s="152"/>
      <s:c r="CI40" s="155"/>
      <s:c r="CJ40" s="151">
        <s:f>CJ37*$D$45+CK37*$D$46+CL37*$D$47</s:f>
        <s:v>0</s:v>
      </s:c>
      <s:c r="CK40" s="152"/>
      <s:c r="CL40" s="153"/>
      <s:c r="CM40" s="154">
        <s:f>CM37*$D$45+CN37*$D$46+CO37*$D$47</s:f>
        <s:v>0</s:v>
      </s:c>
      <s:c r="CN40" s="152"/>
      <s:c r="CO40" s="155"/>
      <s:c r="CP40" s="151">
        <s:f>CP37*$D$45+CQ37*$D$46+CR37*$D$47</s:f>
        <s:v>0</s:v>
      </s:c>
      <s:c r="CQ40" s="152"/>
      <s:c r="CR40" s="153"/>
      <s:c r="CS40" s="104"/>
      <s:c r="CT40" s="105"/>
      <s:c r="CU40" s="105"/>
      <s:c r="CV40" s="105"/>
      <s:c r="CW40" s="115" t="s">
        <s:v>38</s:v>
      </s:c>
      <s:c r="CX40" s="113">
        <s:f>SUM(D40:CR40)</s:f>
        <s:v>104220</s:v>
      </s:c>
      <s:c r="CY40" s="112"/>
    </s:row>
    <s:row r="41" ht="24">
      <s:c r="B41" s="73" t="s">
        <s:v>35</s:v>
      </s:c>
      <s:c r="D41" s="149">
        <s:f>D38*$C$45+E38*$C$46+F38*$C$47</s:f>
        <s:v>0</s:v>
      </s:c>
      <s:c r="E41" s="147"/>
      <s:c r="F41" s="150"/>
      <s:c r="G41" s="146">
        <s:f>G38*$C$45+H38*$C$46+I38*$C$47</s:f>
        <s:v>0</s:v>
      </s:c>
      <s:c r="H41" s="147"/>
      <s:c r="I41" s="148"/>
      <s:c r="J41" s="149">
        <s:f>J38*$C$45+K38*$C$46+L38*$C$47</s:f>
        <s:v>5400</s:v>
      </s:c>
      <s:c r="K41" s="147"/>
      <s:c r="L41" s="150"/>
      <s:c r="M41" s="149">
        <s:f>M38*$C$45+N38*$C$46+O38*$C$47</s:f>
        <s:v>10600</s:v>
      </s:c>
      <s:c r="N41" s="147"/>
      <s:c r="O41" s="150"/>
      <s:c r="P41" s="149">
        <s:f>P38*$C$45+Q38*$C$46+R38*$C$47</s:f>
        <s:v>11900</s:v>
      </s:c>
      <s:c r="Q41" s="147"/>
      <s:c r="R41" s="150"/>
      <s:c r="S41" s="149">
        <s:f>S38*$C$45+T38*$C$46+U38*$C$47</s:f>
        <s:v>13100</s:v>
      </s:c>
      <s:c r="T41" s="147"/>
      <s:c r="U41" s="150"/>
      <s:c r="V41" s="149">
        <s:f>V38*$C$45+W38*$C$46+X38*$C$47</s:f>
        <s:v>12200</s:v>
      </s:c>
      <s:c r="W41" s="147"/>
      <s:c r="X41" s="150"/>
      <s:c r="Y41" s="149">
        <s:f>Y38*$C$45+Z38*$C$46+AA38*$C$47</s:f>
        <s:v>3200</s:v>
      </s:c>
      <s:c r="Z41" s="147"/>
      <s:c r="AA41" s="150"/>
      <s:c r="AB41" s="149">
        <s:f>AB38*$C$45+AC38*$C$46+AD38*$C$47</s:f>
        <s:v>0</s:v>
      </s:c>
      <s:c r="AC41" s="147"/>
      <s:c r="AD41" s="150"/>
      <s:c r="AE41" s="146">
        <s:f>AE38*$C$45+AF38*$C$46+AG38*$C$47</s:f>
        <s:v>29750</s:v>
      </s:c>
      <s:c r="AF41" s="147"/>
      <s:c r="AG41" s="148"/>
      <s:c r="AH41" s="149">
        <s:f>AH38*$C$45+AI38*$C$46+AJ38*$C$47</s:f>
        <s:v>79550</s:v>
      </s:c>
      <s:c r="AI41" s="147"/>
      <s:c r="AJ41" s="150"/>
      <s:c r="AK41" s="146">
        <s:f>AK38*$C$45+AL38*$C$46+AM38*$C$47</s:f>
        <s:v>78750</s:v>
      </s:c>
      <s:c r="AL41" s="147"/>
      <s:c r="AM41" s="148"/>
      <s:c r="AN41" s="149">
        <s:f>AN38*$C$45+AO38*$C$46+AP38*$C$47</s:f>
        <s:v>80350</s:v>
      </s:c>
      <s:c r="AO41" s="147"/>
      <s:c r="AP41" s="150"/>
      <s:c r="AQ41" s="146">
        <s:f>AQ38*$C$45+AR38*$C$46+AS38*$C$47</s:f>
        <s:v>68450</s:v>
      </s:c>
      <s:c r="AR41" s="147"/>
      <s:c r="AS41" s="148"/>
      <s:c r="AT41" s="149">
        <s:f>AT38*$C$45+AU38*$C$46+AV38*$C$47</s:f>
        <s:v>17600</s:v>
      </s:c>
      <s:c r="AU41" s="147"/>
      <s:c r="AV41" s="150"/>
      <s:c r="AW41" s="146">
        <s:f>AW38*$C$45+AX38*$C$46+AY38*$C$47</s:f>
        <s:v>1600</s:v>
      </s:c>
      <s:c r="AX41" s="147"/>
      <s:c r="AY41" s="148"/>
      <s:c r="AZ41" s="149">
        <s:f>AZ38*$C$45+BA38*$C$46+BB38*$C$47</s:f>
        <s:v>4000</s:v>
      </s:c>
      <s:c r="BA41" s="147"/>
      <s:c r="BB41" s="150"/>
      <s:c r="BC41" s="146">
        <s:f>BC38*$C$45+BD38*$C$46+BE38*$C$47</s:f>
        <s:v>2400</s:v>
      </s:c>
      <s:c r="BD41" s="147"/>
      <s:c r="BE41" s="148"/>
      <s:c r="BF41" s="149">
        <s:f>BF38*$C$45+BG38*$C$46+BH38*$C$47</s:f>
        <s:v>37550</s:v>
      </s:c>
      <s:c r="BG41" s="147"/>
      <s:c r="BH41" s="150"/>
      <s:c r="BI41" s="146">
        <s:f>BI38*$C$45+BJ38*$C$46+BK38*$C$47</s:f>
        <s:v>54350</s:v>
      </s:c>
      <s:c r="BJ41" s="147"/>
      <s:c r="BK41" s="148"/>
      <s:c r="BL41" s="149">
        <s:f>BL38*$C$45+BM38*$C$46+BN38*$C$47</s:f>
        <s:v>51950</s:v>
      </s:c>
      <s:c r="BM41" s="147"/>
      <s:c r="BN41" s="150"/>
      <s:c r="BO41" s="146">
        <s:f>BO38*$C$45+BP38*$C$46+BQ38*$C$47</s:f>
        <s:v>52750</s:v>
      </s:c>
      <s:c r="BP41" s="147"/>
      <s:c r="BQ41" s="148"/>
      <s:c r="BR41" s="149">
        <s:f>BR38*$C$45+BS38*$C$46+BT38*$C$47</s:f>
        <s:v>52750</s:v>
      </s:c>
      <s:c r="BS41" s="147"/>
      <s:c r="BT41" s="150"/>
      <s:c r="BU41" s="146">
        <s:f>BU38*$C$45+BV38*$C$46+BW38*$C$47</s:f>
        <s:v>2400</s:v>
      </s:c>
      <s:c r="BV41" s="147"/>
      <s:c r="BW41" s="148"/>
      <s:c r="BX41" s="149">
        <s:f>BX38*$C$45+BY38*$C$46+BZ38*$C$47</s:f>
        <s:v>0</s:v>
      </s:c>
      <s:c r="BY41" s="147"/>
      <s:c r="BZ41" s="150"/>
      <s:c r="CA41" s="146">
        <s:f>CA38*$C$45+CB38*$C$46+CC38*$C$47</s:f>
        <s:v>0</s:v>
      </s:c>
      <s:c r="CB41" s="147"/>
      <s:c r="CC41" s="148"/>
      <s:c r="CD41" s="149">
        <s:f>CD38*$C$45+CE38*$C$46+CF38*$C$47</s:f>
        <s:v>2400</s:v>
      </s:c>
      <s:c r="CE41" s="147"/>
      <s:c r="CF41" s="150"/>
      <s:c r="CG41" s="146">
        <s:f>CG38*$C$45+CH38*$C$46+CI38*$C$47</s:f>
        <s:v>2400</s:v>
      </s:c>
      <s:c r="CH41" s="147"/>
      <s:c r="CI41" s="148"/>
      <s:c r="CJ41" s="149">
        <s:f>CJ38*$C$45+CK38*$C$46+CL38*$C$47</s:f>
        <s:v>0</s:v>
      </s:c>
      <s:c r="CK41" s="147"/>
      <s:c r="CL41" s="150"/>
      <s:c r="CM41" s="146">
        <s:f>CM38*$C$45+CN38*$C$46+CO38*$C$47</s:f>
        <s:v>0</s:v>
      </s:c>
      <s:c r="CN41" s="147"/>
      <s:c r="CO41" s="148"/>
      <s:c r="CP41" s="149">
        <s:f>CP38*$C$45+CQ38*$C$46+CR38*$C$47</s:f>
        <s:v>0</s:v>
      </s:c>
      <s:c r="CQ41" s="147"/>
      <s:c r="CR41" s="150"/>
      <s:c r="CS41" s="106"/>
      <s:c r="CT41" s="107"/>
      <s:c r="CU41" s="107"/>
      <s:c r="CV41" s="116" t="s">
        <s:v>41</s:v>
      </s:c>
      <s:c r="CW41" s="113">
        <s:f>SUM(D41:CR41)</s:f>
        <s:v>675400</s:v>
      </s:c>
      <s:c r="CY41" s="112"/>
    </s:row>
    <s:row r="42" ht="24">
      <s:c r="B42" s="73" t="s">
        <s:v>36</s:v>
      </s:c>
      <s:c r="D42" s="156">
        <s:f>D39*$C$45+E39*$C$46+F39*$C$47</s:f>
        <s:v>0</s:v>
      </s:c>
      <s:c r="E42" s="157"/>
      <s:c r="F42" s="158"/>
      <s:c r="G42" s="159">
        <s:f>G39*$C$45+H39*$C$46+I39*$C$47</s:f>
        <s:v>0</s:v>
      </s:c>
      <s:c r="H42" s="157"/>
      <s:c r="I42" s="160"/>
      <s:c r="J42" s="161">
        <s:f>J39*$C$45+K39*$C$46+L39*$C$47</s:f>
        <s:v>15150</s:v>
      </s:c>
      <s:c r="K42" s="162"/>
      <s:c r="L42" s="163"/>
      <s:c r="M42" s="161">
        <s:f>M39*$C$45+N39*$C$46+O39*$C$47</s:f>
        <s:v>18900</s:v>
      </s:c>
      <s:c r="N42" s="162"/>
      <s:c r="O42" s="163"/>
      <s:c r="P42" s="161">
        <s:f>P39*$C$45+Q39*$C$46+R39*$C$47</s:f>
        <s:v>21150</s:v>
      </s:c>
      <s:c r="Q42" s="162"/>
      <s:c r="R42" s="163"/>
      <s:c r="S42" s="161">
        <s:f>S39*$C$45+T39*$C$46+U39*$C$47</s:f>
        <s:v>19350</s:v>
      </s:c>
      <s:c r="T42" s="162"/>
      <s:c r="U42" s="163"/>
      <s:c r="V42" s="161">
        <s:f>V39*$C$45+W39*$C$46+X39*$C$47</s:f>
        <s:v>11400</s:v>
      </s:c>
      <s:c r="W42" s="162"/>
      <s:c r="X42" s="163"/>
      <s:c r="Y42" s="161">
        <s:f>Y39*$C$45+Z39*$C$46+AA39*$C$47</s:f>
        <s:v>1600</s:v>
      </s:c>
      <s:c r="Z42" s="162"/>
      <s:c r="AA42" s="163"/>
      <s:c r="AB42" s="161">
        <s:f>AB39*$C$45+AC39*$C$46+AD39*$C$47</s:f>
        <s:v>0</s:v>
      </s:c>
      <s:c r="AC42" s="162"/>
      <s:c r="AD42" s="163"/>
      <s:c r="AE42" s="161">
        <s:f>AE39*$C$45+AF39*$C$46+AG39*$C$47</s:f>
        <s:v>0</s:v>
      </s:c>
      <s:c r="AF42" s="162"/>
      <s:c r="AG42" s="163"/>
      <s:c r="AH42" s="161">
        <s:f>AH39*$C$45+AI39*$C$46+AJ39*$C$47</s:f>
        <s:v>0</s:v>
      </s:c>
      <s:c r="AI42" s="162"/>
      <s:c r="AJ42" s="163"/>
      <s:c r="AK42" s="161">
        <s:f>AK39*$C$45+AL39*$C$46+AM39*$C$47</s:f>
        <s:v>800</s:v>
      </s:c>
      <s:c r="AL42" s="162"/>
      <s:c r="AM42" s="163"/>
      <s:c r="AN42" s="161">
        <s:f>AN39*$C$45+AO39*$C$46+AP39*$C$47</s:f>
        <s:v>800</s:v>
      </s:c>
      <s:c r="AO42" s="162"/>
      <s:c r="AP42" s="163"/>
      <s:c r="AQ42" s="161">
        <s:f>AQ39*$C$45+AR39*$C$46+AS39*$C$47</s:f>
        <s:v>800</s:v>
      </s:c>
      <s:c r="AR42" s="162"/>
      <s:c r="AS42" s="163"/>
      <s:c r="AT42" s="156">
        <s:f>AT39*$C$45+AU39*$C$46+AV39*$C$47</s:f>
        <s:v>0</s:v>
      </s:c>
      <s:c r="AU42" s="157"/>
      <s:c r="AV42" s="158"/>
      <s:c r="AW42" s="159">
        <s:f>AW39*$C$45+AX39*$C$46+AY39*$C$47</s:f>
        <s:v>0</s:v>
      </s:c>
      <s:c r="AX42" s="157"/>
      <s:c r="AY42" s="160"/>
      <s:c r="AZ42" s="156">
        <s:f>AZ39*$C$45+BA39*$C$46+BB39*$C$47</s:f>
        <s:v>0</s:v>
      </s:c>
      <s:c r="BA42" s="157"/>
      <s:c r="BB42" s="158"/>
      <s:c r="BC42" s="159">
        <s:f>BC39*$C$45+BD39*$C$46+BE39*$C$47</s:f>
        <s:v>0</s:v>
      </s:c>
      <s:c r="BD42" s="157"/>
      <s:c r="BE42" s="160"/>
      <s:c r="BF42" s="156">
        <s:f>BF39*$C$45+BG39*$C$46+BH39*$C$47</s:f>
        <s:v>0</s:v>
      </s:c>
      <s:c r="BG42" s="157"/>
      <s:c r="BH42" s="158"/>
      <s:c r="BI42" s="159">
        <s:f>BI39*$C$45+BJ39*$C$46+BK39*$C$47</s:f>
        <s:v>0</s:v>
      </s:c>
      <s:c r="BJ42" s="157"/>
      <s:c r="BK42" s="160"/>
      <s:c r="BL42" s="156">
        <s:f>BL39*$C$45+BM39*$C$46+BN39*$C$47</s:f>
        <s:v>0</s:v>
      </s:c>
      <s:c r="BM42" s="157"/>
      <s:c r="BN42" s="158"/>
      <s:c r="BO42" s="159">
        <s:f>BO39*$C$45+BP39*$C$46+BQ39*$C$47</s:f>
        <s:v>0</s:v>
      </s:c>
      <s:c r="BP42" s="157"/>
      <s:c r="BQ42" s="160"/>
      <s:c r="BR42" s="156">
        <s:f>BR39*$C$45+BS39*$C$46+BT39*$C$47</s:f>
        <s:v>0</s:v>
      </s:c>
      <s:c r="BS42" s="157"/>
      <s:c r="BT42" s="158"/>
      <s:c r="BU42" s="159">
        <s:f>BU39*$C$45+BV39*$C$46+BW39*$C$47</s:f>
        <s:v>0</s:v>
      </s:c>
      <s:c r="BV42" s="157"/>
      <s:c r="BW42" s="160"/>
      <s:c r="BX42" s="156">
        <s:f>BX39*$C$45+BY39*$C$46+BZ39*$C$47</s:f>
        <s:v>0</s:v>
      </s:c>
      <s:c r="BY42" s="157"/>
      <s:c r="BZ42" s="158"/>
      <s:c r="CA42" s="159">
        <s:f>CA39*$C$45+CB39*$C$46+CC39*$C$47</s:f>
        <s:v>0</s:v>
      </s:c>
      <s:c r="CB42" s="157"/>
      <s:c r="CC42" s="160"/>
      <s:c r="CD42" s="156">
        <s:f>CD39*$C$45+CE39*$C$46+CF39*$C$47</s:f>
        <s:v>0</s:v>
      </s:c>
      <s:c r="CE42" s="157"/>
      <s:c r="CF42" s="158"/>
      <s:c r="CG42" s="159">
        <s:f>CG39*$C$45+CH39*$C$46+CI39*$C$47</s:f>
        <s:v>0</s:v>
      </s:c>
      <s:c r="CH42" s="157"/>
      <s:c r="CI42" s="160"/>
      <s:c r="CJ42" s="156">
        <s:f>CJ39*$C$45+CK39*$C$46+CL39*$C$47</s:f>
        <s:v>0</s:v>
      </s:c>
      <s:c r="CK42" s="157"/>
      <s:c r="CL42" s="158"/>
      <s:c r="CM42" s="159">
        <s:f>CM39*$C$45+CN39*$C$46+CO39*$C$47</s:f>
        <s:v>0</s:v>
      </s:c>
      <s:c r="CN42" s="157"/>
      <s:c r="CO42" s="160"/>
      <s:c r="CP42" s="156">
        <s:f>CP39*$C$45+CQ39*$C$46+CR39*$C$47</s:f>
        <s:v>0</s:v>
      </s:c>
      <s:c r="CQ42" s="157"/>
      <s:c r="CR42" s="158"/>
      <s:c r="CS42" s="104"/>
      <s:c r="CT42" s="105"/>
      <s:c r="CU42" s="105"/>
      <s:c r="CV42" s="105"/>
      <s:c r="CW42" s="105"/>
      <s:c r="CX42" s="108" t="s">
        <s:v>37</s:v>
      </s:c>
      <s:c r="CY42" s="113">
        <s:f>SUM(D42:CR42)</s:f>
        <s:v>89950</s:v>
      </s:c>
    </s:row>
    <s:row x14ac:dyDescent="0.3" r="43" spans="1:107" ht="21.6" customHeight="1"/>
    <s:row r="44" ht="21.6">
      <s:c r="B44" s="3" t="s">
        <s:v>22</s:v>
      </s:c>
      <s:c r="C44" s="1" t="s">
        <s:v>21</s:v>
      </s:c>
      <s:c r="D44" s="1" t="s">
        <s:v>20</s:v>
      </s:c>
    </s:row>
    <s:row r="45" ht="21.6">
      <s:c r="B45" s="2" t="s">
        <s:v>14</s:v>
      </s:c>
      <s:c r="C45" s="64">
        <s:v>800</s:v>
      </s:c>
      <s:c r="D45" s="65">
        <s:f>C45*1.2</s:f>
        <s:v>960</s:v>
      </s:c>
      <s:c r="CV45" s="170" t="s">
        <s:v>56</s:v>
      </s:c>
      <s:c r="CW45" s="171"/>
      <s:c r="CX45" s="171"/>
      <s:c r="CY45" s="172"/>
    </s:row>
    <s:row r="46" ht="21">
      <s:c r="B46" s="2" t="s">
        <s:v>15</s:v>
      </s:c>
      <s:c r="C46" s="64">
        <s:v>1000</s:v>
      </s:c>
      <s:c r="D46" s="65">
        <s:f>C46*1.2</s:f>
        <s:v>1200</s:v>
      </s:c>
      <s:c r="CV46" s="142" t="s">
        <s:v>67</s:v>
      </s:c>
      <s:c r="CW46" s="143" t="s">
        <s:v>65</s:v>
      </s:c>
      <s:c r="CX46" s="144"/>
      <s:c r="CY46" s="145">
        <s:f>CX40/1.2*0.2+(CX36-CX40/1.2*0.2)*0.15</s:f>
        <s:v>30397.5</s:v>
      </s:c>
    </s:row>
    <s:row r="47" ht="21">
      <s:c r="B47" s="2" t="s">
        <s:v>16</s:v>
      </s:c>
      <s:c r="C47" s="64">
        <s:v>850</s:v>
      </s:c>
      <s:c r="D47" s="65">
        <s:f>C47*1.2</s:f>
        <s:v>1020</s:v>
      </s:c>
      <s:c r="CV47" s="142" t="s">
        <s:v>68</s:v>
      </s:c>
      <s:c r="CW47" s="143" t="s">
        <s:v>65</s:v>
      </s:c>
      <s:c r="CX47" s="144"/>
      <s:c r="CY47" s="145">
        <s:f>CW36*0.15</s:f>
        <s:v>101310</s:v>
      </s:c>
    </s:row>
    <s:row r="48" ht="21">
      <s:c r="CV48" s="130" t="s">
        <s:v>57</s:v>
      </s:c>
      <s:c r="CW48" s="141" t="s">
        <s:v>66</s:v>
      </s:c>
      <s:c r="CX48" s="125"/>
      <s:c r="CY48" s="131">
        <s:v>99508.88</s:v>
      </s:c>
    </s:row>
    <s:row r="49" ht="21.75">
      <s:c r="CV49" s="130" t="s">
        <s:v>58</s:v>
      </s:c>
      <s:c r="CW49" s="141" t="s">
        <s:v>66</s:v>
      </s:c>
      <s:c r="CX49" s="125"/>
      <s:c r="CY49" s="131">
        <s:v>116325</s:v>
      </s:c>
    </s:row>
    <s:row r="50" ht="21">
      <s:c r="CV50" s="130" t="s">
        <s:v>59</s:v>
      </s:c>
      <s:c r="CW50" s="141" t="s">
        <s:v>65</s:v>
      </s:c>
      <s:c r="CX50" s="125"/>
      <s:c r="CY50" s="132"/>
    </s:row>
    <s:row r="51" ht="21">
      <s:c r="C51" s="64" t="s">
        <s:v>84</s:v>
      </s:c>
      <s:c r="CV51" s="130" t="s">
        <s:v>62</s:v>
      </s:c>
      <s:c r="CW51" s="141"/>
      <s:c r="CX51" s="125"/>
      <s:c r="CY51" s="132"/>
    </s:row>
    <s:row r="52" ht="21">
      <s:c r="C52" s="64" t="s">
        <s:v>17</s:v>
      </s:c>
      <s:c r="CV52" s="130"/>
      <s:c r="CW52" s="141"/>
      <s:c r="CX52" s="125"/>
      <s:c r="CY52" s="132"/>
    </s:row>
    <s:row r="53" ht="21.6">
      <s:c r="C53" s="64" t="s">
        <s:v>18</s:v>
      </s:c>
      <s:c r="CV53" s="176" t="s">
        <s:v>61</s:v>
      </s:c>
      <s:c r="CW53" s="177"/>
      <s:c r="CX53" s="178"/>
      <s:c r="CY53" s="179">
        <s:f>CV36-SUM(CY46:CY52)</s:f>
        <s:v>522028.62</s:v>
      </s:c>
    </s:row>
    <s:row r="54" ht="21">
      <s:c r="C54" s="64" t="s">
        <s:v>28</s:v>
      </s:c>
      <s:c r="CV54" s="129" t="s">
        <s:v>64</s:v>
      </s:c>
      <s:c r="CW54" s="137"/>
      <s:c r="CX54" s="137"/>
      <s:c r="CY54" s="139">
        <s:f>CY36-SUMIF(CW46:CW52,"наличные",CY46:CY52)</s:f>
        <s:v>-125883.88</s:v>
      </s:c>
    </s:row>
    <s:row r="55" ht="21.6">
      <s:c r="CV55" s="133" t="s">
        <s:v>63</s:v>
      </s:c>
      <s:c r="CW55" s="138"/>
      <s:c r="CX55" s="138"/>
      <s:c r="CY55" s="140">
        <s:f>CW36+CX36-SUMIF(CW46:CW52,"безнал",CY46:CY52)</s:f>
        <s:v>647912.5</s:v>
      </s:c>
    </s:row>
    <s:row r="57">
      <s:c r="CY57" s="128"/>
    </s:row>
  </s:sheetData>
  <s:mergeCells count="127">
    <s:mergeCell ref="CM42:CO42"/>
    <s:mergeCell ref="CP42:CR42"/>
    <s:mergeCell ref="CV45:CY45"/>
    <s:mergeCell ref="BU42:BW42"/>
    <s:mergeCell ref="BX42:BZ42"/>
    <s:mergeCell ref="CA42:CC42"/>
    <s:mergeCell ref="CD42:CF42"/>
    <s:mergeCell ref="CG42:CI42"/>
    <s:mergeCell ref="CJ42:CL42"/>
    <s:mergeCell ref="BC42:BE42"/>
    <s:mergeCell ref="BF42:BH42"/>
    <s:mergeCell ref="BI42:BK42"/>
    <s:mergeCell ref="BL42:BN42"/>
    <s:mergeCell ref="BO42:BQ42"/>
    <s:mergeCell ref="BR42:BT42"/>
    <s:mergeCell ref="AK42:AM42"/>
    <s:mergeCell ref="AN42:AP42"/>
    <s:mergeCell ref="AQ42:AS42"/>
    <s:mergeCell ref="AT42:AV42"/>
    <s:mergeCell ref="AW42:AY42"/>
    <s:mergeCell ref="AZ42:BB42"/>
    <s:mergeCell ref="S42:U42"/>
    <s:mergeCell ref="V42:X42"/>
    <s:mergeCell ref="Y42:AA42"/>
    <s:mergeCell ref="AB42:AD42"/>
    <s:mergeCell ref="AE42:AG42"/>
    <s:mergeCell ref="AH42:AJ42"/>
    <s:mergeCell ref="CD41:CF41"/>
    <s:mergeCell ref="CG41:CI41"/>
    <s:mergeCell ref="CJ41:CL41"/>
    <s:mergeCell ref="CM41:CO41"/>
    <s:mergeCell ref="CP41:CR41"/>
    <s:mergeCell ref="D42:F42"/>
    <s:mergeCell ref="G42:I42"/>
    <s:mergeCell ref="J42:L42"/>
    <s:mergeCell ref="M42:O42"/>
    <s:mergeCell ref="P42:R42"/>
    <s:mergeCell ref="BL41:BN41"/>
    <s:mergeCell ref="BO41:BQ41"/>
    <s:mergeCell ref="BR41:BT41"/>
    <s:mergeCell ref="BU41:BW41"/>
    <s:mergeCell ref="BX41:BZ41"/>
    <s:mergeCell ref="CA41:CC41"/>
    <s:mergeCell ref="AT41:AV41"/>
    <s:mergeCell ref="AW41:AY41"/>
    <s:mergeCell ref="AZ41:BB41"/>
    <s:mergeCell ref="BC41:BE41"/>
    <s:mergeCell ref="BF41:BH41"/>
    <s:mergeCell ref="BI41:BK41"/>
    <s:mergeCell ref="AB41:AD41"/>
    <s:mergeCell ref="AE41:AG41"/>
    <s:mergeCell ref="AH41:AJ41"/>
    <s:mergeCell ref="AK41:AM41"/>
    <s:mergeCell ref="AN41:AP41"/>
    <s:mergeCell ref="AQ41:AS41"/>
    <s:mergeCell ref="CM40:CO40"/>
    <s:mergeCell ref="CP40:CR40"/>
    <s:mergeCell ref="D41:F41"/>
    <s:mergeCell ref="G41:I41"/>
    <s:mergeCell ref="J41:L41"/>
    <s:mergeCell ref="M41:O41"/>
    <s:mergeCell ref="P41:R41"/>
    <s:mergeCell ref="S41:U41"/>
    <s:mergeCell ref="V41:X41"/>
    <s:mergeCell ref="Y41:AA41"/>
    <s:mergeCell ref="BU40:BW40"/>
    <s:mergeCell ref="BX40:BZ40"/>
    <s:mergeCell ref="CA40:CC40"/>
    <s:mergeCell ref="CD40:CF40"/>
    <s:mergeCell ref="CG40:CI40"/>
    <s:mergeCell ref="CJ40:CL40"/>
    <s:mergeCell ref="BC40:BE40"/>
    <s:mergeCell ref="BF40:BH40"/>
    <s:mergeCell ref="BI40:BK40"/>
    <s:mergeCell ref="BL40:BN40"/>
    <s:mergeCell ref="BO40:BQ40"/>
    <s:mergeCell ref="BR40:BT40"/>
    <s:mergeCell ref="AK40:AM40"/>
    <s:mergeCell ref="AN40:AP40"/>
    <s:mergeCell ref="AQ40:AS40"/>
    <s:mergeCell ref="AT40:AV40"/>
    <s:mergeCell ref="AW40:AY40"/>
    <s:mergeCell ref="AZ40:BB40"/>
    <s:mergeCell ref="S40:U40"/>
    <s:mergeCell ref="V40:X40"/>
    <s:mergeCell ref="Y40:AA40"/>
    <s:mergeCell ref="AB40:AD40"/>
    <s:mergeCell ref="AE40:AG40"/>
    <s:mergeCell ref="AH40:AJ40"/>
    <s:mergeCell ref="CG2:CI2"/>
    <s:mergeCell ref="CJ2:CL2"/>
    <s:mergeCell ref="CM2:CO2"/>
    <s:mergeCell ref="CP2:CR2"/>
    <s:mergeCell ref="CV35:CY35"/>
    <s:mergeCell ref="D40:F40"/>
    <s:mergeCell ref="G40:I40"/>
    <s:mergeCell ref="J40:L40"/>
    <s:mergeCell ref="M40:O40"/>
    <s:mergeCell ref="P40:R40"/>
    <s:mergeCell ref="BO2:BQ2"/>
    <s:mergeCell ref="BR2:BT2"/>
    <s:mergeCell ref="BU2:BW2"/>
    <s:mergeCell ref="BX2:BZ2"/>
    <s:mergeCell ref="CA2:CC2"/>
    <s:mergeCell ref="CD2:CF2"/>
    <s:mergeCell ref="AW2:AY2"/>
    <s:mergeCell ref="AZ2:BB2"/>
    <s:mergeCell ref="BC2:BE2"/>
    <s:mergeCell ref="BF2:BH2"/>
    <s:mergeCell ref="BI2:BK2"/>
    <s:mergeCell ref="BL2:BN2"/>
    <s:mergeCell ref="AE2:AG2"/>
    <s:mergeCell ref="AH2:AJ2"/>
    <s:mergeCell ref="AK2:AM2"/>
    <s:mergeCell ref="AN2:AP2"/>
    <s:mergeCell ref="AQ2:AS2"/>
    <s:mergeCell ref="AT2:AV2"/>
    <s:mergeCell ref="AY1:BH1"/>
    <s:mergeCell ref="D2:F2"/>
    <s:mergeCell ref="G2:I2"/>
    <s:mergeCell ref="J2:L2"/>
    <s:mergeCell ref="M2:O2"/>
    <s:mergeCell ref="P2:R2"/>
    <s:mergeCell ref="S2:U2"/>
    <s:mergeCell ref="V2:X2"/>
    <s:mergeCell ref="Y2:AA2"/>
    <s:mergeCell ref="AB2:AD2"/>
  </s:mergeCells>
  <s:conditionalFormatting sqref="B4:C34">
    <s:cfRule type="containsBlanks" dxfId="169" priority="5">
      <s:formula>LEN(TRIM(B4))=0</s:formula>
    </s:cfRule>
  </s:conditionalFormatting>
  <s:conditionalFormatting sqref="D2 G2 J2 M2 P2 S2 V2 Y2 AB2 AE2 AH2 AK2 AN2 AQ2 AT2 AW2 AZ2 BC2 BF2 BI2 BL2 BO2 BR2 BU2 BX2 CA2 CD2 CG2 CJ2 CM2 CP2">
    <s:cfRule type="timePeriod" dxfId="168" priority="6" timePeriod="today">
      <s:formula>FLOOR(D2,1)=TODAY()</s:formula>
    </s:cfRule>
  </s:conditionalFormatting>
  <s:conditionalFormatting sqref="F4:CR34">
    <s:cfRule type="cellIs" dxfId="167" priority="3" operator="equal">
      <s:formula>0</s:formula>
    </s:cfRule>
    <s:cfRule type="containsBlanks" dxfId="166" priority="4">
      <s:formula>LEN(TRIM(F4))=0</s:formula>
    </s:cfRule>
  </s:conditionalFormatting>
  <s:conditionalFormatting sqref="H4:H34">
    <s:cfRule type="expression" dxfId="165" priority="10">
      <s:formula>AND(COLUMN()&gt;COLUMN($F$4),C4&lt;&gt;"",H4&gt;C4)</s:formula>
    </s:cfRule>
    <s:cfRule type="expression" dxfId="164" priority="11">
      <s:formula>AND(COLUMN()&gt;COLUMN($F$4),C4&lt;&gt;"",H4&lt;C4)</s:formula>
    </s:cfRule>
  </s:conditionalFormatting>
  <s:conditionalFormatting sqref="I3 L3 O3 R3 U3 X3 AA3 AD3 AG3 AJ3 AM3 AP3 AS3 AV3 AY3 BB3 BE3 BH3 BK3 BN3 BQ3 BT3 BW3 BZ3 CC3 CF3 CI3 CL3 CO3 CR3">
    <s:cfRule type="timePeriod" dxfId="163" priority="2" timePeriod="today">
      <s:formula>FLOOR(I3,1)=TODAY()</s:formula>
    </s:cfRule>
  </s:conditionalFormatting>
  <s:conditionalFormatting sqref="I35 L35 O35 R35 U35 X35 AA35 AD35 AG35 AJ35 AM35 AP35 AS35 AV35 AY35 BB35 BE35 BH35 BK35 BN35 BQ35 BT35 BW35 BZ35 CC35 CF35 CI35 CL35 CO35 CR35">
    <s:cfRule type="timePeriod" dxfId="162" priority="1" timePeriod="today">
      <s:formula>FLOOR(I35,1)=TODAY()</s:formula>
    </s:cfRule>
  </s:conditionalFormatting>
  <s:conditionalFormatting sqref="I4:J34">
    <s:cfRule type="expression" dxfId="161" priority="12">
      <s:formula>AND(COLUMN()&gt;COLUMN($F$4),C4&lt;&gt;"",I4&gt;C4)</s:formula>
    </s:cfRule>
    <s:cfRule type="expression" dxfId="160" priority="13">
      <s:formula>AND(COLUMN()&gt;COLUMN($F$4),C4&lt;&gt;"",I4&lt;C4)</s:formula>
    </s:cfRule>
  </s:conditionalFormatting>
  <s:conditionalFormatting sqref="K4:K34">
    <s:cfRule type="expression" dxfId="159" priority="14">
      <s:formula>AND(COLUMN()&gt;COLUMN($F$4),D4&lt;&gt;"",K4&gt;D4)</s:formula>
    </s:cfRule>
    <s:cfRule type="expression" dxfId="158" priority="15">
      <s:formula>AND(COLUMN()&gt;COLUMN($F$4),D4&lt;&gt;"",K4&lt;D4)</s:formula>
    </s:cfRule>
  </s:conditionalFormatting>
  <s:conditionalFormatting sqref="L4:M34">
    <s:cfRule type="expression" dxfId="157" priority="16">
      <s:formula>AND(COLUMN()&gt;COLUMN($F$4),D4&lt;&gt;"",L4&gt;D4)</s:formula>
    </s:cfRule>
    <s:cfRule type="expression" dxfId="156" priority="17">
      <s:formula>AND(COLUMN()&gt;COLUMN($F$4),D4&lt;&gt;"",L4&lt;D4)</s:formula>
    </s:cfRule>
  </s:conditionalFormatting>
  <s:conditionalFormatting sqref="N4:N34">
    <s:cfRule type="expression" dxfId="155" priority="18">
      <s:formula>AND(COLUMN()&gt;COLUMN($F$4),E4&lt;&gt;"",N4&gt;E4)</s:formula>
    </s:cfRule>
    <s:cfRule type="expression" dxfId="154" priority="19">
      <s:formula>AND(COLUMN()&gt;COLUMN($F$4),E4&lt;&gt;"",N4&lt;E4)</s:formula>
    </s:cfRule>
  </s:conditionalFormatting>
  <s:conditionalFormatting sqref="O4:P34">
    <s:cfRule type="expression" dxfId="153" priority="20">
      <s:formula>AND(COLUMN()&gt;COLUMN($F$4),E4&lt;&gt;"",O4&gt;E4)</s:formula>
    </s:cfRule>
    <s:cfRule type="expression" dxfId="152" priority="21">
      <s:formula>AND(COLUMN()&gt;COLUMN($F$4),E4&lt;&gt;"",O4&lt;E4)</s:formula>
    </s:cfRule>
  </s:conditionalFormatting>
  <s:conditionalFormatting sqref="Q4:Q34">
    <s:cfRule type="expression" dxfId="151" priority="22">
      <s:formula>AND(COLUMN()&gt;COLUMN($F$4),F4&lt;&gt;"",Q4&gt;F4)</s:formula>
    </s:cfRule>
    <s:cfRule type="expression" dxfId="150" priority="23">
      <s:formula>AND(COLUMN()&gt;COLUMN($F$4),F4&lt;&gt;"",Q4&lt;F4)</s:formula>
    </s:cfRule>
  </s:conditionalFormatting>
  <s:conditionalFormatting sqref="R4:S34">
    <s:cfRule type="expression" dxfId="149" priority="24">
      <s:formula>AND(COLUMN()&gt;COLUMN($F$4),F4&lt;&gt;"",R4&gt;F4)</s:formula>
    </s:cfRule>
    <s:cfRule type="expression" dxfId="148" priority="25">
      <s:formula>AND(COLUMN()&gt;COLUMN($F$4),F4&lt;&gt;"",R4&lt;F4)</s:formula>
    </s:cfRule>
  </s:conditionalFormatting>
  <s:conditionalFormatting sqref="T4:T34">
    <s:cfRule type="expression" dxfId="147" priority="26">
      <s:formula>AND(COLUMN()&gt;COLUMN($F$4),G4&lt;&gt;"",T4&gt;G4)</s:formula>
    </s:cfRule>
    <s:cfRule type="expression" dxfId="146" priority="27">
      <s:formula>AND(COLUMN()&gt;COLUMN($F$4),G4&lt;&gt;"",T4&lt;G4)</s:formula>
    </s:cfRule>
  </s:conditionalFormatting>
  <s:conditionalFormatting sqref="U4:V34">
    <s:cfRule type="expression" dxfId="145" priority="28">
      <s:formula>AND(COLUMN()&gt;COLUMN($F$4),G4&lt;&gt;"",U4&gt;G4)</s:formula>
    </s:cfRule>
    <s:cfRule type="expression" dxfId="144" priority="29">
      <s:formula>AND(COLUMN()&gt;COLUMN($F$4),G4&lt;&gt;"",U4&lt;G4)</s:formula>
    </s:cfRule>
  </s:conditionalFormatting>
  <s:conditionalFormatting sqref="W4:W34">
    <s:cfRule type="expression" dxfId="143" priority="30">
      <s:formula>AND(COLUMN()&gt;COLUMN($F$4),H4&lt;&gt;"",W4&gt;H4)</s:formula>
    </s:cfRule>
    <s:cfRule type="expression" dxfId="142" priority="31">
      <s:formula>AND(COLUMN()&gt;COLUMN($F$4),H4&lt;&gt;"",W4&lt;H4)</s:formula>
    </s:cfRule>
  </s:conditionalFormatting>
  <s:conditionalFormatting sqref="X4:Y34">
    <s:cfRule type="expression" dxfId="141" priority="32">
      <s:formula>AND(COLUMN()&gt;COLUMN($F$4),H4&lt;&gt;"",X4&gt;H4)</s:formula>
    </s:cfRule>
    <s:cfRule type="expression" dxfId="140" priority="33">
      <s:formula>AND(COLUMN()&gt;COLUMN($F$4),H4&lt;&gt;"",X4&lt;H4)</s:formula>
    </s:cfRule>
  </s:conditionalFormatting>
  <s:conditionalFormatting sqref="Z4:Z34">
    <s:cfRule type="expression" dxfId="139" priority="34">
      <s:formula>AND(COLUMN()&gt;COLUMN($F$4),I4&lt;&gt;"",Z4&gt;I4)</s:formula>
    </s:cfRule>
    <s:cfRule type="expression" dxfId="138" priority="35">
      <s:formula>AND(COLUMN()&gt;COLUMN($F$4),I4&lt;&gt;"",Z4&lt;I4)</s:formula>
    </s:cfRule>
  </s:conditionalFormatting>
  <s:conditionalFormatting sqref="AA4:AB34">
    <s:cfRule type="expression" dxfId="137" priority="36">
      <s:formula>AND(COLUMN()&gt;COLUMN($F$4),I4&lt;&gt;"",AA4&gt;I4)</s:formula>
    </s:cfRule>
    <s:cfRule type="expression" dxfId="136" priority="37">
      <s:formula>AND(COLUMN()&gt;COLUMN($F$4),I4&lt;&gt;"",AA4&lt;I4)</s:formula>
    </s:cfRule>
  </s:conditionalFormatting>
  <s:conditionalFormatting sqref="AC4:AC34">
    <s:cfRule type="expression" dxfId="135" priority="38">
      <s:formula>AND(COLUMN()&gt;COLUMN($F$4),J4&lt;&gt;"",AC4&gt;J4)</s:formula>
    </s:cfRule>
    <s:cfRule type="expression" dxfId="134" priority="39">
      <s:formula>AND(COLUMN()&gt;COLUMN($F$4),J4&lt;&gt;"",AC4&lt;J4)</s:formula>
    </s:cfRule>
  </s:conditionalFormatting>
  <s:conditionalFormatting sqref="AD4:AF34">
    <s:cfRule type="expression" dxfId="133" priority="40">
      <s:formula>AND(COLUMN()&gt;COLUMN($F$4),J4&lt;&gt;"",AD4&gt;J4)</s:formula>
    </s:cfRule>
    <s:cfRule type="expression" dxfId="132" priority="41">
      <s:formula>AND(COLUMN()&gt;COLUMN($F$4),J4&lt;&gt;"",AD4&lt;J4)</s:formula>
    </s:cfRule>
  </s:conditionalFormatting>
  <s:conditionalFormatting sqref="AG4:AI34">
    <s:cfRule type="expression" dxfId="131" priority="42">
      <s:formula>AND(COLUMN()&gt;COLUMN($F$4),K4&lt;&gt;"",AG4&gt;K4)</s:formula>
    </s:cfRule>
    <s:cfRule type="expression" dxfId="130" priority="43">
      <s:formula>AND(COLUMN()&gt;COLUMN($F$4),K4&lt;&gt;"",AG4&lt;K4)</s:formula>
    </s:cfRule>
  </s:conditionalFormatting>
  <s:conditionalFormatting sqref="AJ4:AL34">
    <s:cfRule type="expression" dxfId="129" priority="44">
      <s:formula>AND(COLUMN()&gt;COLUMN($F$4),L4&lt;&gt;"",AJ4&gt;L4)</s:formula>
    </s:cfRule>
    <s:cfRule type="expression" dxfId="128" priority="45">
      <s:formula>AND(COLUMN()&gt;COLUMN($F$4),L4&lt;&gt;"",AJ4&lt;L4)</s:formula>
    </s:cfRule>
  </s:conditionalFormatting>
  <s:conditionalFormatting sqref="AM4:AO34">
    <s:cfRule type="expression" dxfId="127" priority="46">
      <s:formula>AND(COLUMN()&gt;COLUMN($F$4),M4&lt;&gt;"",AM4&gt;M4)</s:formula>
    </s:cfRule>
    <s:cfRule type="expression" dxfId="126" priority="47">
      <s:formula>AND(COLUMN()&gt;COLUMN($F$4),M4&lt;&gt;"",AM4&lt;M4)</s:formula>
    </s:cfRule>
  </s:conditionalFormatting>
  <s:conditionalFormatting sqref="AP4:AR34">
    <s:cfRule type="expression" dxfId="125" priority="48">
      <s:formula>AND(COLUMN()&gt;COLUMN($F$4),N4&lt;&gt;"",AP4&gt;N4)</s:formula>
    </s:cfRule>
    <s:cfRule type="expression" dxfId="124" priority="49">
      <s:formula>AND(COLUMN()&gt;COLUMN($F$4),N4&lt;&gt;"",AP4&lt;N4)</s:formula>
    </s:cfRule>
  </s:conditionalFormatting>
  <s:conditionalFormatting sqref="AS4:AU34">
    <s:cfRule type="expression" dxfId="123" priority="50">
      <s:formula>AND(COLUMN()&gt;COLUMN($F$4),O4&lt;&gt;"",AS4&gt;O4)</s:formula>
    </s:cfRule>
    <s:cfRule type="expression" dxfId="122" priority="51">
      <s:formula>AND(COLUMN()&gt;COLUMN($F$4),O4&lt;&gt;"",AS4&lt;O4)</s:formula>
    </s:cfRule>
  </s:conditionalFormatting>
  <s:conditionalFormatting sqref="AV4:AX34">
    <s:cfRule type="expression" dxfId="121" priority="52">
      <s:formula>AND(COLUMN()&gt;COLUMN($F$4),P4&lt;&gt;"",AV4&gt;P4)</s:formula>
    </s:cfRule>
    <s:cfRule type="expression" dxfId="120" priority="53">
      <s:formula>AND(COLUMN()&gt;COLUMN($F$4),P4&lt;&gt;"",AV4&lt;P4)</s:formula>
    </s:cfRule>
  </s:conditionalFormatting>
  <s:conditionalFormatting sqref="AY4:BA34">
    <s:cfRule type="expression" dxfId="119" priority="54">
      <s:formula>AND(COLUMN()&gt;COLUMN($F$4),Q4&lt;&gt;"",AY4&gt;Q4)</s:formula>
    </s:cfRule>
    <s:cfRule type="expression" dxfId="118" priority="55">
      <s:formula>AND(COLUMN()&gt;COLUMN($F$4),Q4&lt;&gt;"",AY4&lt;Q4)</s:formula>
    </s:cfRule>
  </s:conditionalFormatting>
  <s:conditionalFormatting sqref="BB4:BD34">
    <s:cfRule type="expression" dxfId="117" priority="56">
      <s:formula>AND(COLUMN()&gt;COLUMN($F$4),R4&lt;&gt;"",BB4&gt;R4)</s:formula>
    </s:cfRule>
    <s:cfRule type="expression" dxfId="116" priority="57">
      <s:formula>AND(COLUMN()&gt;COLUMN($F$4),R4&lt;&gt;"",BB4&lt;R4)</s:formula>
    </s:cfRule>
  </s:conditionalFormatting>
  <s:conditionalFormatting sqref="BE4:BG34">
    <s:cfRule type="expression" dxfId="115" priority="58">
      <s:formula>AND(COLUMN()&gt;COLUMN($F$4),S4&lt;&gt;"",BE4&gt;S4)</s:formula>
    </s:cfRule>
    <s:cfRule type="expression" dxfId="114" priority="59">
      <s:formula>AND(COLUMN()&gt;COLUMN($F$4),S4&lt;&gt;"",BE4&lt;S4)</s:formula>
    </s:cfRule>
  </s:conditionalFormatting>
  <s:conditionalFormatting sqref="BH4:BJ34">
    <s:cfRule type="expression" dxfId="113" priority="60">
      <s:formula>AND(COLUMN()&gt;COLUMN($F$4),T4&lt;&gt;"",BH4&gt;T4)</s:formula>
    </s:cfRule>
    <s:cfRule type="expression" dxfId="112" priority="61">
      <s:formula>AND(COLUMN()&gt;COLUMN($F$4),T4&lt;&gt;"",BH4&lt;T4)</s:formula>
    </s:cfRule>
  </s:conditionalFormatting>
  <s:conditionalFormatting sqref="BK4:BM34">
    <s:cfRule type="expression" dxfId="111" priority="62">
      <s:formula>AND(COLUMN()&gt;COLUMN($F$4),U4&lt;&gt;"",BK4&gt;U4)</s:formula>
    </s:cfRule>
    <s:cfRule type="expression" dxfId="110" priority="63">
      <s:formula>AND(COLUMN()&gt;COLUMN($F$4),U4&lt;&gt;"",BK4&lt;U4)</s:formula>
    </s:cfRule>
  </s:conditionalFormatting>
  <s:conditionalFormatting sqref="BN4:BP34">
    <s:cfRule type="expression" dxfId="109" priority="64">
      <s:formula>AND(COLUMN()&gt;COLUMN($F$4),V4&lt;&gt;"",BN4&gt;V4)</s:formula>
    </s:cfRule>
    <s:cfRule type="expression" dxfId="108" priority="65">
      <s:formula>AND(COLUMN()&gt;COLUMN($F$4),V4&lt;&gt;"",BN4&lt;V4)</s:formula>
    </s:cfRule>
  </s:conditionalFormatting>
  <s:conditionalFormatting sqref="BQ4:BS34">
    <s:cfRule type="expression" dxfId="107" priority="66">
      <s:formula>AND(COLUMN()&gt;COLUMN($F$4),W4&lt;&gt;"",BQ4&gt;W4)</s:formula>
    </s:cfRule>
    <s:cfRule type="expression" dxfId="106" priority="67">
      <s:formula>AND(COLUMN()&gt;COLUMN($F$4),W4&lt;&gt;"",BQ4&lt;W4)</s:formula>
    </s:cfRule>
  </s:conditionalFormatting>
  <s:conditionalFormatting sqref="BT4:BV34">
    <s:cfRule type="expression" dxfId="105" priority="68">
      <s:formula>AND(COLUMN()&gt;COLUMN($F$4),X4&lt;&gt;"",BT4&gt;X4)</s:formula>
    </s:cfRule>
    <s:cfRule type="expression" dxfId="104" priority="69">
      <s:formula>AND(COLUMN()&gt;COLUMN($F$4),X4&lt;&gt;"",BT4&lt;X4)</s:formula>
    </s:cfRule>
  </s:conditionalFormatting>
  <s:conditionalFormatting sqref="BW4:BY34">
    <s:cfRule type="expression" dxfId="103" priority="70">
      <s:formula>AND(COLUMN()&gt;COLUMN($F$4),Y4&lt;&gt;"",BW4&gt;Y4)</s:formula>
    </s:cfRule>
    <s:cfRule type="expression" dxfId="102" priority="71">
      <s:formula>AND(COLUMN()&gt;COLUMN($F$4),Y4&lt;&gt;"",BW4&lt;Y4)</s:formula>
    </s:cfRule>
  </s:conditionalFormatting>
  <s:conditionalFormatting sqref="BZ4:CB34">
    <s:cfRule type="expression" dxfId="101" priority="72">
      <s:formula>AND(COLUMN()&gt;COLUMN($F$4),Z4&lt;&gt;"",BZ4&gt;Z4)</s:formula>
    </s:cfRule>
    <s:cfRule type="expression" dxfId="100" priority="73">
      <s:formula>AND(COLUMN()&gt;COLUMN($F$4),Z4&lt;&gt;"",BZ4&lt;Z4)</s:formula>
    </s:cfRule>
  </s:conditionalFormatting>
  <s:conditionalFormatting sqref="CC4:CE34">
    <s:cfRule type="expression" dxfId="99" priority="74">
      <s:formula>AND(COLUMN()&gt;COLUMN($F$4),AA4&lt;&gt;"",CC4&gt;AA4)</s:formula>
    </s:cfRule>
    <s:cfRule type="expression" dxfId="98" priority="75">
      <s:formula>AND(COLUMN()&gt;COLUMN($F$4),AA4&lt;&gt;"",CC4&lt;AA4)</s:formula>
    </s:cfRule>
  </s:conditionalFormatting>
  <s:conditionalFormatting sqref="CF4:CH34">
    <s:cfRule type="expression" dxfId="97" priority="76">
      <s:formula>AND(COLUMN()&gt;COLUMN($F$4),AB4&lt;&gt;"",CF4&gt;AB4)</s:formula>
    </s:cfRule>
    <s:cfRule type="expression" dxfId="96" priority="77">
      <s:formula>AND(COLUMN()&gt;COLUMN($F$4),AB4&lt;&gt;"",CF4&lt;AB4)</s:formula>
    </s:cfRule>
  </s:conditionalFormatting>
  <s:conditionalFormatting sqref="CI4:CK34">
    <s:cfRule type="expression" dxfId="95" priority="78">
      <s:formula>AND(COLUMN()&gt;COLUMN($F$4),AC4&lt;&gt;"",CI4&gt;AC4)</s:formula>
    </s:cfRule>
    <s:cfRule type="expression" dxfId="94" priority="79">
      <s:formula>AND(COLUMN()&gt;COLUMN($F$4),AC4&lt;&gt;"",CI4&lt;AC4)</s:formula>
    </s:cfRule>
  </s:conditionalFormatting>
  <s:conditionalFormatting sqref="CL4:CN34">
    <s:cfRule type="expression" dxfId="93" priority="80">
      <s:formula>AND(COLUMN()&gt;COLUMN($F$4),AD4&lt;&gt;"",CL4&gt;AD4)</s:formula>
    </s:cfRule>
    <s:cfRule type="expression" dxfId="92" priority="81">
      <s:formula>AND(COLUMN()&gt;COLUMN($F$4),AD4&lt;&gt;"",CL4&lt;AD4)</s:formula>
    </s:cfRule>
  </s:conditionalFormatting>
  <s:conditionalFormatting sqref="CO4:CQ34">
    <s:cfRule type="expression" dxfId="91" priority="82">
      <s:formula>AND(COLUMN()&gt;COLUMN($F$4),AE4&lt;&gt;"",CO4&gt;AE4)</s:formula>
    </s:cfRule>
    <s:cfRule type="expression" dxfId="90" priority="83">
      <s:formula>AND(COLUMN()&gt;COLUMN($F$4),AE4&lt;&gt;"",CO4&lt;AE4)</s:formula>
    </s:cfRule>
  </s:conditionalFormatting>
  <s:conditionalFormatting sqref="CR4:CR34">
    <s:cfRule type="expression" dxfId="89" priority="84">
      <s:formula>AND(COLUMN()&gt;COLUMN($F$4),AF4&lt;&gt;"",CR4&gt;AF4)</s:formula>
    </s:cfRule>
    <s:cfRule type="expression" dxfId="88" priority="85">
      <s:formula>AND(COLUMN()&gt;COLUMN($F$4),AF4&lt;&gt;"",CR4&lt;AF4)</s:formula>
    </s:cfRule>
  </s:conditionalFormatting>
  <s:conditionalFormatting sqref="B35:C35">
    <s:cfRule type="expression" dxfId="2" priority="576">
      <s:formula>$CZ35=$DE$4</s:formula>
    </s:cfRule>
    <s:cfRule type="expression" dxfId="1" priority="577">
      <s:formula>$CZ35=$DE$5</s:formula>
    </s:cfRule>
    <s:cfRule type="expression" dxfId="0" priority="578">
      <s:formula>$CZ35=#REF!</s:formula>
    </s:cfRule>
  </s:conditionalFormatting>
  <s:dataValidations count="2">
    <s:dataValidation xr:uid="{3E6BF86C-49D4-4E95-B4F6-731E6B104138}" type="list" allowBlank="1" showInputMessage="1" showErrorMessage="1" sqref="CW46:CW52" vyd:viewType="arrow" mc:Ignorable="vyd">
      <s:formula1>"безнал,наличные"</s:formula1>
    </s:dataValidation>
    <s:dataValidation xr:uid="{022AE3A8-FF6B-4D09-AB4F-24060B8CAA33}" type="list" allowBlank="1" showInputMessage="1" showErrorMessage="1" sqref="C4:C34" vyd:viewType="arrow" mc:Ignorable="vyd">
      <s:formula1>$C$52:$C$54</s:formula1>
    </s:dataValidation>
  </s:dataValidations>
  <s:pageMargins left="0.7" right="0.7" top="0.75" bottom="0.75" header="0.3" footer="0.3"/>
  <s:pageSetup paperSize="9" orientation="portrait" r:id="rId1"/>
  <s:legacyDrawing r:id="rId2"/>
</s:worksheet>
</file>

<file path=xl/worksheets/sheet3.xml><?xml version="1.0" encoding="utf-8"?>
<s:worksheet xmlns:xr="http://schemas.microsoft.com/office/spreadsheetml/2014/revision" xmlns:xr3="http://schemas.microsoft.com/office/spreadsheetml/2016/revision3" xmlns:xr2="http://schemas.microsoft.com/office/spreadsheetml/2015/revision2" xmlns:mc="http://schemas.openxmlformats.org/markup-compatibility/2006" xmlns:s="http://schemas.openxmlformats.org/spreadsheetml/2006/main" xmlns:r="http://schemas.openxmlformats.org/officeDocument/2006/relationships" xmlns:vyd="http://volga.yandex.com/schemas/document/model" xmlns:x14ac="http://schemas.microsoft.com/office/spreadsheetml/2009/9/ac" mc:Ignorable="x14ac xr xr2 xr3" xr:uid="{C04A499A-40A0-4ED7-AC08-8BED206F97F4}">
  <s:dimension ref="A1:DC56"/>
  <s:sheetViews>
    <s:sheetView tabSelected="0" zoomScale="50" zoomScaleNormal="50" workbookViewId="0">
      <s:pane xSplit="3" topLeftCell="D1" activePane="topRight" state="frozen"/>
      <s:selection pane="topRight" activeCell="CH45" sqref="CH45"/>
    </s:sheetView>
  </s:sheetViews>
  <s:sheetFormatPr x14ac:dyDescent="0.3" defaultColWidth="10" defaultRowHeight="14.4"/>
  <s:cols>
    <s:col min="1" max="1" width="8.07" bestFit="1" customWidth="1"/>
    <s:col min="2" max="2" width="45.441" customWidth="1"/>
    <s:col min="3" max="3" width="15.332" style="4" customWidth="1"/>
    <s:col min="4" max="4" width="7.887" style="4" customWidth="1"/>
    <s:col min="5" max="96" width="6.441" style="4" customWidth="1"/>
    <s:col min="97" max="97" width="10.109" style="4" bestFit="1" customWidth="1"/>
    <s:col min="98" max="99" width="11" style="4" customWidth="1"/>
    <s:col min="100" max="100" width="19.887" style="4" customWidth="1"/>
    <s:col min="101" max="101" width="19.664" style="4" bestFit="1" customWidth="1"/>
    <s:col min="102" max="102" width="17.664" style="4" customWidth="1"/>
    <s:col min="103" max="103" width="19.109" customWidth="1"/>
    <s:col min="104" max="104" width="12.664" customWidth="1"/>
    <s:col min="106" max="107" width="10.332" bestFit="1" customWidth="1"/>
  </s:cols>
  <s:sheetData>
    <s:row r="1" ht="29.25">
      <s:c r="A1" s="5" t="s">
        <s:v>0</s:v>
      </s:c>
      <s:c r="B1" s="66" t="s">
        <s:v>27</s:v>
      </s:c>
      <s:c r="C1" s="6"/>
      <s:c r="D1" s="123" t="s">
        <s:v>53</s:v>
      </s:c>
      <s:c r="E1" s="6"/>
      <s:c r="F1" s="57"/>
      <s:c r="G1" s="123" t="s">
        <s:v>54</s:v>
      </s:c>
      <s:c r="H1" s="57"/>
      <s:c r="I1" s="57"/>
      <s:c r="J1" s="123" t="s">
        <s:v>55</s:v>
      </s:c>
      <s:c r="K1" s="57"/>
      <s:c r="L1" s="57"/>
      <s:c r="M1" s="57"/>
      <s:c r="N1" s="57"/>
      <s:c r="O1" s="57"/>
      <s:c r="P1" s="57"/>
      <s:c r="Q1" s="57"/>
      <s:c r="R1" s="57"/>
      <s:c r="S1" s="57"/>
      <s:c r="T1" s="57"/>
      <s:c r="U1" s="57"/>
      <s:c r="V1" s="57"/>
      <s:c r="W1" s="57"/>
      <s:c r="X1" s="57"/>
      <s:c r="Y1" s="57"/>
      <s:c r="Z1" s="57"/>
      <s:c r="AA1" s="57"/>
      <s:c r="AB1" s="57"/>
      <s:c r="AC1" s="57"/>
      <s:c r="AD1" s="57"/>
      <s:c r="AE1" s="57"/>
      <s:c r="AF1" s="57"/>
      <s:c r="AG1" s="58"/>
      <s:c r="AH1" s="58"/>
      <s:c r="AI1" s="58"/>
      <s:c r="AJ1" s="57"/>
      <s:c r="AK1" s="57"/>
      <s:c r="AL1" s="57"/>
      <s:c r="AM1" s="57"/>
      <s:c r="AN1" s="57"/>
      <s:c r="AO1" s="57"/>
      <s:c r="AP1" s="57"/>
      <s:c r="AQ1" s="57"/>
      <s:c r="AR1" s="57"/>
      <s:c r="AS1" s="57" t="s">
        <s:v>1</s:v>
      </s:c>
      <s:c r="AT1" s="57"/>
      <s:c r="AU1" s="57"/>
      <s:c r="AV1" s="57"/>
      <s:c r="AW1" s="57"/>
      <s:c r="AX1" s="57"/>
      <s:c r="AY1" s="164">
        <s:v>46023</s:v>
      </s:c>
      <s:c r="AZ1" s="164"/>
      <s:c r="BA1" s="164"/>
      <s:c r="BB1" s="164"/>
      <s:c r="BC1" s="164"/>
      <s:c r="BD1" s="164"/>
      <s:c r="BE1" s="164"/>
      <s:c r="BF1" s="164"/>
      <s:c r="BG1" s="164"/>
      <s:c r="BH1" s="164"/>
      <s:c r="BI1" s="59"/>
      <s:c r="BJ1" s="59"/>
      <s:c r="BK1" s="57"/>
      <s:c r="BL1" s="57"/>
      <s:c r="BM1" s="57"/>
      <s:c r="BN1" s="57"/>
      <s:c r="BO1" s="57"/>
      <s:c r="BP1" s="57"/>
      <s:c r="BQ1" s="57"/>
      <s:c r="BR1" s="57"/>
      <s:c r="BS1" s="57"/>
      <s:c r="BT1" s="57"/>
      <s:c r="BU1" s="57"/>
      <s:c r="BV1" s="57"/>
      <s:c r="BW1" s="57"/>
      <s:c r="BX1" s="57"/>
      <s:c r="BY1" s="57"/>
      <s:c r="BZ1" s="57"/>
      <s:c r="CA1" s="57"/>
      <s:c r="CB1" s="57"/>
      <s:c r="CC1" s="57"/>
      <s:c r="CD1" s="57"/>
      <s:c r="CE1" s="57"/>
      <s:c r="CF1" s="57"/>
      <s:c r="CG1" s="57"/>
      <s:c r="CH1" s="57"/>
      <s:c r="CI1" s="57"/>
      <s:c r="CJ1" s="57"/>
      <s:c r="CK1" s="57"/>
      <s:c r="CL1" s="57"/>
      <s:c r="CM1" s="57"/>
      <s:c r="CN1" s="57"/>
      <s:c r="CO1" s="57"/>
      <s:c r="CP1" s="57"/>
      <s:c r="CQ1" s="57"/>
      <s:c r="CR1" s="57"/>
      <s:c r="CS1" s="57"/>
      <s:c r="CT1" s="57"/>
      <s:c r="CU1" s="57"/>
      <s:c r="CV1" s="60"/>
      <s:c r="CW1" s="61"/>
      <s:c r="CX1" s="61"/>
    </s:row>
    <s:row r="2" ht="79.5">
      <s:c r="A2" s="7" t="s">
        <s:v>91</s:v>
      </s:c>
      <s:c r="B2" s="8" t="s">
        <s:v>4</s:v>
      </s:c>
      <s:c r="C2" s="126" t="s">
        <s:v>9</s:v>
      </s:c>
      <s:c r="D2" s="165">
        <s:f>IF(AY1&lt;&gt;0,AY1,"")</s:f>
        <s:v>46023</s:v>
      </s:c>
      <s:c r="E2" s="166"/>
      <s:c r="F2" s="167"/>
      <s:c r="G2" s="168">
        <s:f>IF(D2="","",D2+1)</s:f>
        <s:v>46024</s:v>
      </s:c>
      <s:c r="H2" s="166"/>
      <s:c r="I2" s="169"/>
      <s:c r="J2" s="165">
        <s:f>IF(G2="","",G2+1)</s:f>
        <s:v>46025</s:v>
      </s:c>
      <s:c r="K2" s="166"/>
      <s:c r="L2" s="167"/>
      <s:c r="M2" s="168">
        <s:f>IF(J2="","",J2+1)</s:f>
        <s:v>46026</s:v>
      </s:c>
      <s:c r="N2" s="166"/>
      <s:c r="O2" s="169"/>
      <s:c r="P2" s="165">
        <s:f>IF(M2="","",M2+1)</s:f>
        <s:v>46027</s:v>
      </s:c>
      <s:c r="Q2" s="166"/>
      <s:c r="R2" s="167"/>
      <s:c r="S2" s="168">
        <s:f>IF(P2="","",P2+1)</s:f>
        <s:v>46028</s:v>
      </s:c>
      <s:c r="T2" s="166"/>
      <s:c r="U2" s="169"/>
      <s:c r="V2" s="165">
        <s:f>IF(S2="","",S2+1)</s:f>
        <s:v>46029</s:v>
      </s:c>
      <s:c r="W2" s="166"/>
      <s:c r="X2" s="167"/>
      <s:c r="Y2" s="168">
        <s:f>IF(V2="","",V2+1)</s:f>
        <s:v>46030</s:v>
      </s:c>
      <s:c r="Z2" s="166"/>
      <s:c r="AA2" s="169"/>
      <s:c r="AB2" s="165">
        <s:f>IF(Y2="","",Y2+1)</s:f>
        <s:v>46031</s:v>
      </s:c>
      <s:c r="AC2" s="166"/>
      <s:c r="AD2" s="167"/>
      <s:c r="AE2" s="168">
        <s:f>IF(AB2="","",AB2+1)</s:f>
        <s:v>46032</s:v>
      </s:c>
      <s:c r="AF2" s="166"/>
      <s:c r="AG2" s="169"/>
      <s:c r="AH2" s="165">
        <s:f>IF(AE2="","",AE2+1)</s:f>
        <s:v>46033</s:v>
      </s:c>
      <s:c r="AI2" s="166"/>
      <s:c r="AJ2" s="167"/>
      <s:c r="AK2" s="168">
        <s:f>IF(AH2="","",AH2+1)</s:f>
        <s:v>46034</s:v>
      </s:c>
      <s:c r="AL2" s="166"/>
      <s:c r="AM2" s="169"/>
      <s:c r="AN2" s="165">
        <s:f>IF(AK2="","",AK2+1)</s:f>
        <s:v>46035</s:v>
      </s:c>
      <s:c r="AO2" s="166"/>
      <s:c r="AP2" s="167"/>
      <s:c r="AQ2" s="168">
        <s:f>IF(AN2="","",AN2+1)</s:f>
        <s:v>46036</s:v>
      </s:c>
      <s:c r="AR2" s="166"/>
      <s:c r="AS2" s="169"/>
      <s:c r="AT2" s="165">
        <s:f>IF(AQ2="","",AQ2+1)</s:f>
        <s:v>46037</s:v>
      </s:c>
      <s:c r="AU2" s="166"/>
      <s:c r="AV2" s="167"/>
      <s:c r="AW2" s="168">
        <s:f>IF(AT2="","",AT2+1)</s:f>
        <s:v>46038</s:v>
      </s:c>
      <s:c r="AX2" s="166"/>
      <s:c r="AY2" s="169"/>
      <s:c r="AZ2" s="165">
        <s:f>IF(AW2="","",AW2+1)</s:f>
        <s:v>46039</s:v>
      </s:c>
      <s:c r="BA2" s="166"/>
      <s:c r="BB2" s="167"/>
      <s:c r="BC2" s="168">
        <s:f>IF(AZ2="","",AZ2+1)</s:f>
        <s:v>46040</s:v>
      </s:c>
      <s:c r="BD2" s="166"/>
      <s:c r="BE2" s="169"/>
      <s:c r="BF2" s="165">
        <s:f>IF(BC2="","",BC2+1)</s:f>
        <s:v>46041</s:v>
      </s:c>
      <s:c r="BG2" s="166"/>
      <s:c r="BH2" s="167"/>
      <s:c r="BI2" s="168">
        <s:f>IF(BF2="","",BF2+1)</s:f>
        <s:v>46042</s:v>
      </s:c>
      <s:c r="BJ2" s="166"/>
      <s:c r="BK2" s="169"/>
      <s:c r="BL2" s="165">
        <s:f>IF(BI2="","",BI2+1)</s:f>
        <s:v>46043</s:v>
      </s:c>
      <s:c r="BM2" s="166"/>
      <s:c r="BN2" s="167"/>
      <s:c r="BO2" s="168">
        <s:f>IF(BL2="","",BL2+1)</s:f>
        <s:v>46044</s:v>
      </s:c>
      <s:c r="BP2" s="166"/>
      <s:c r="BQ2" s="169"/>
      <s:c r="BR2" s="165">
        <s:f>IF(BO2="","",BO2+1)</s:f>
        <s:v>46045</s:v>
      </s:c>
      <s:c r="BS2" s="166"/>
      <s:c r="BT2" s="167"/>
      <s:c r="BU2" s="168">
        <s:f>IF(BR2="","",BR2+1)</s:f>
        <s:v>46046</s:v>
      </s:c>
      <s:c r="BV2" s="166"/>
      <s:c r="BW2" s="169"/>
      <s:c r="BX2" s="165">
        <s:f>IF(BU2="","",BU2+1)</s:f>
        <s:v>46047</s:v>
      </s:c>
      <s:c r="BY2" s="166"/>
      <s:c r="BZ2" s="167"/>
      <s:c r="CA2" s="168">
        <s:f>IF(BX2="","",BX2+1)</s:f>
        <s:v>46048</s:v>
      </s:c>
      <s:c r="CB2" s="166"/>
      <s:c r="CC2" s="169"/>
      <s:c r="CD2" s="165">
        <s:f>IF(CA2="","",CA2+1)</s:f>
        <s:v>46049</s:v>
      </s:c>
      <s:c r="CE2" s="166"/>
      <s:c r="CF2" s="167"/>
      <s:c r="CG2" s="168">
        <s:f>IF(CD2="","",IF(CD2+1&gt;EOMONTH($AY$1,0),"",CD2+1))</s:f>
        <s:v>46050</s:v>
      </s:c>
      <s:c r="CH2" s="166"/>
      <s:c r="CI2" s="169"/>
      <s:c r="CJ2" s="165">
        <s:f>IF(CG2="","",IF(CG2+1&gt;EOMONTH($AY$1,0),"",CG2+1))</s:f>
        <s:v>46051</s:v>
      </s:c>
      <s:c r="CK2" s="166"/>
      <s:c r="CL2" s="167"/>
      <s:c r="CM2" s="168">
        <s:f>IF(CJ2="","",IF(CJ2+1&gt;EOMONTH($AY$1,0),"",CJ2+1))</s:f>
        <s:v>46052</s:v>
      </s:c>
      <s:c r="CN2" s="166"/>
      <s:c r="CO2" s="169"/>
      <s:c r="CP2" s="165">
        <s:f>IF(CM2="","",IF(CM2+1&gt;EOMONTH($AY$1,0),"",CM2+1))</s:f>
        <s:v>46053</s:v>
      </s:c>
      <s:c r="CQ2" s="166"/>
      <s:c r="CR2" s="167"/>
      <s:c r="CS2" s="9" t="s">
        <s:v>23</s:v>
      </s:c>
      <s:c r="CT2" s="10" t="s">
        <s:v>24</s:v>
      </s:c>
      <s:c r="CU2" s="10" t="s">
        <s:v>25</s:v>
      </s:c>
      <s:c r="CV2" s="11" t="s">
        <s:v>3</s:v>
      </s:c>
      <s:c r="CW2" s="12" t="s">
        <s:v>85</s:v>
      </s:c>
      <s:c r="CX2" s="13" t="s">
        <s:v>86</s:v>
      </s:c>
      <s:c r="CY2" s="13" t="s">
        <s:v>29</s:v>
      </s:c>
    </s:row>
    <s:row r="3" ht="21.75">
      <s:c r="A3" s="14"/>
      <s:c r="B3" s="15" t="s">
        <s:v>8</s:v>
      </s:c>
      <s:c r="C3" s="127" t="s">
        <s:v>60</s:v>
      </s:c>
      <s:c r="D3" s="16" t="s">
        <s:v>10</s:v>
      </s:c>
      <s:c r="E3" s="15" t="s">
        <s:v>11</s:v>
      </s:c>
      <s:c r="F3" s="17" t="s">
        <s:v>12</s:v>
      </s:c>
      <s:c r="G3" s="14" t="s">
        <s:v>10</s:v>
      </s:c>
      <s:c r="H3" s="15" t="s">
        <s:v>11</s:v>
      </s:c>
      <s:c r="I3" s="78" t="s">
        <s:v>12</s:v>
      </s:c>
      <s:c r="J3" s="16" t="s">
        <s:v>10</s:v>
      </s:c>
      <s:c r="K3" s="15" t="s">
        <s:v>11</s:v>
      </s:c>
      <s:c r="L3" s="17" t="s">
        <s:v>12</s:v>
      </s:c>
      <s:c r="M3" s="14" t="s">
        <s:v>10</s:v>
      </s:c>
      <s:c r="N3" s="15" t="s">
        <s:v>11</s:v>
      </s:c>
      <s:c r="O3" s="78" t="s">
        <s:v>12</s:v>
      </s:c>
      <s:c r="P3" s="16" t="s">
        <s:v>10</s:v>
      </s:c>
      <s:c r="Q3" s="15" t="s">
        <s:v>11</s:v>
      </s:c>
      <s:c r="R3" s="17" t="s">
        <s:v>12</s:v>
      </s:c>
      <s:c r="S3" s="14" t="s">
        <s:v>10</s:v>
      </s:c>
      <s:c r="T3" s="15" t="s">
        <s:v>11</s:v>
      </s:c>
      <s:c r="U3" s="78" t="s">
        <s:v>12</s:v>
      </s:c>
      <s:c r="V3" s="16" t="s">
        <s:v>10</s:v>
      </s:c>
      <s:c r="W3" s="15" t="s">
        <s:v>11</s:v>
      </s:c>
      <s:c r="X3" s="17" t="s">
        <s:v>12</s:v>
      </s:c>
      <s:c r="Y3" s="14" t="s">
        <s:v>10</s:v>
      </s:c>
      <s:c r="Z3" s="15" t="s">
        <s:v>11</s:v>
      </s:c>
      <s:c r="AA3" s="78" t="s">
        <s:v>12</s:v>
      </s:c>
      <s:c r="AB3" s="16" t="s">
        <s:v>10</s:v>
      </s:c>
      <s:c r="AC3" s="15" t="s">
        <s:v>11</s:v>
      </s:c>
      <s:c r="AD3" s="17" t="s">
        <s:v>12</s:v>
      </s:c>
      <s:c r="AE3" s="14" t="s">
        <s:v>10</s:v>
      </s:c>
      <s:c r="AF3" s="15" t="s">
        <s:v>11</s:v>
      </s:c>
      <s:c r="AG3" s="78" t="s">
        <s:v>12</s:v>
      </s:c>
      <s:c r="AH3" s="16" t="s">
        <s:v>10</s:v>
      </s:c>
      <s:c r="AI3" s="15" t="s">
        <s:v>11</s:v>
      </s:c>
      <s:c r="AJ3" s="17" t="s">
        <s:v>12</s:v>
      </s:c>
      <s:c r="AK3" s="14" t="s">
        <s:v>10</s:v>
      </s:c>
      <s:c r="AL3" s="15" t="s">
        <s:v>11</s:v>
      </s:c>
      <s:c r="AM3" s="78" t="s">
        <s:v>12</s:v>
      </s:c>
      <s:c r="AN3" s="16" t="s">
        <s:v>10</s:v>
      </s:c>
      <s:c r="AO3" s="15" t="s">
        <s:v>11</s:v>
      </s:c>
      <s:c r="AP3" s="17" t="s">
        <s:v>12</s:v>
      </s:c>
      <s:c r="AQ3" s="14" t="s">
        <s:v>10</s:v>
      </s:c>
      <s:c r="AR3" s="15" t="s">
        <s:v>11</s:v>
      </s:c>
      <s:c r="AS3" s="78" t="s">
        <s:v>12</s:v>
      </s:c>
      <s:c r="AT3" s="16" t="s">
        <s:v>10</s:v>
      </s:c>
      <s:c r="AU3" s="15" t="s">
        <s:v>11</s:v>
      </s:c>
      <s:c r="AV3" s="17" t="s">
        <s:v>12</s:v>
      </s:c>
      <s:c r="AW3" s="14" t="s">
        <s:v>10</s:v>
      </s:c>
      <s:c r="AX3" s="15" t="s">
        <s:v>11</s:v>
      </s:c>
      <s:c r="AY3" s="78" t="s">
        <s:v>12</s:v>
      </s:c>
      <s:c r="AZ3" s="16" t="s">
        <s:v>10</s:v>
      </s:c>
      <s:c r="BA3" s="15" t="s">
        <s:v>11</s:v>
      </s:c>
      <s:c r="BB3" s="17" t="s">
        <s:v>12</s:v>
      </s:c>
      <s:c r="BC3" s="14" t="s">
        <s:v>10</s:v>
      </s:c>
      <s:c r="BD3" s="15" t="s">
        <s:v>11</s:v>
      </s:c>
      <s:c r="BE3" s="78" t="s">
        <s:v>12</s:v>
      </s:c>
      <s:c r="BF3" s="16" t="s">
        <s:v>10</s:v>
      </s:c>
      <s:c r="BG3" s="15" t="s">
        <s:v>11</s:v>
      </s:c>
      <s:c r="BH3" s="17" t="s">
        <s:v>12</s:v>
      </s:c>
      <s:c r="BI3" s="14" t="s">
        <s:v>10</s:v>
      </s:c>
      <s:c r="BJ3" s="15" t="s">
        <s:v>11</s:v>
      </s:c>
      <s:c r="BK3" s="78" t="s">
        <s:v>12</s:v>
      </s:c>
      <s:c r="BL3" s="16" t="s">
        <s:v>10</s:v>
      </s:c>
      <s:c r="BM3" s="15" t="s">
        <s:v>11</s:v>
      </s:c>
      <s:c r="BN3" s="17" t="s">
        <s:v>12</s:v>
      </s:c>
      <s:c r="BO3" s="14" t="s">
        <s:v>10</s:v>
      </s:c>
      <s:c r="BP3" s="15" t="s">
        <s:v>11</s:v>
      </s:c>
      <s:c r="BQ3" s="78" t="s">
        <s:v>12</s:v>
      </s:c>
      <s:c r="BR3" s="16" t="s">
        <s:v>10</s:v>
      </s:c>
      <s:c r="BS3" s="15" t="s">
        <s:v>11</s:v>
      </s:c>
      <s:c r="BT3" s="17" t="s">
        <s:v>12</s:v>
      </s:c>
      <s:c r="BU3" s="14" t="s">
        <s:v>10</s:v>
      </s:c>
      <s:c r="BV3" s="15" t="s">
        <s:v>11</s:v>
      </s:c>
      <s:c r="BW3" s="78" t="s">
        <s:v>12</s:v>
      </s:c>
      <s:c r="BX3" s="16" t="s">
        <s:v>10</s:v>
      </s:c>
      <s:c r="BY3" s="15" t="s">
        <s:v>11</s:v>
      </s:c>
      <s:c r="BZ3" s="17" t="s">
        <s:v>12</s:v>
      </s:c>
      <s:c r="CA3" s="14" t="s">
        <s:v>10</s:v>
      </s:c>
      <s:c r="CB3" s="15" t="s">
        <s:v>11</s:v>
      </s:c>
      <s:c r="CC3" s="78" t="s">
        <s:v>12</s:v>
      </s:c>
      <s:c r="CD3" s="16" t="s">
        <s:v>10</s:v>
      </s:c>
      <s:c r="CE3" s="15" t="s">
        <s:v>11</s:v>
      </s:c>
      <s:c r="CF3" s="17" t="s">
        <s:v>12</s:v>
      </s:c>
      <s:c r="CG3" s="14" t="s">
        <s:v>10</s:v>
      </s:c>
      <s:c r="CH3" s="15" t="s">
        <s:v>11</s:v>
      </s:c>
      <s:c r="CI3" s="78" t="s">
        <s:v>12</s:v>
      </s:c>
      <s:c r="CJ3" s="16" t="s">
        <s:v>10</s:v>
      </s:c>
      <s:c r="CK3" s="15" t="s">
        <s:v>11</s:v>
      </s:c>
      <s:c r="CL3" s="17" t="s">
        <s:v>12</s:v>
      </s:c>
      <s:c r="CM3" s="14" t="s">
        <s:v>10</s:v>
      </s:c>
      <s:c r="CN3" s="15" t="s">
        <s:v>11</s:v>
      </s:c>
      <s:c r="CO3" s="78" t="s">
        <s:v>12</s:v>
      </s:c>
      <s:c r="CP3" s="16" t="s">
        <s:v>10</s:v>
      </s:c>
      <s:c r="CQ3" s="15" t="s">
        <s:v>11</s:v>
      </s:c>
      <s:c r="CR3" s="17" t="s">
        <s:v>12</s:v>
      </s:c>
      <s:c r="CS3" s="18" t="s">
        <s:v>10</s:v>
      </s:c>
      <s:c r="CT3" s="19" t="s">
        <s:v>11</s:v>
      </s:c>
      <s:c r="CU3" s="19" t="s">
        <s:v>12</s:v>
      </s:c>
      <s:c r="CV3" s="20"/>
      <s:c r="CW3" s="21"/>
      <s:c r="CX3" s="22"/>
      <s:c r="CY3" s="22"/>
    </s:row>
    <s:row r="4" ht="21.75">
      <s:c r="A4" s="23"/>
      <s:c r="B4" s="24" t="s">
        <s:v>5</s:v>
      </s:c>
      <s:c r="C4" s="25" t="s">
        <s:v>18</s:v>
      </s:c>
      <s:c r="D4" s="49"/>
      <s:c r="E4" s="50"/>
      <s:c r="F4" s="74"/>
      <s:c r="G4" s="79"/>
      <s:c r="H4" s="26"/>
      <s:c r="I4" s="80"/>
      <s:c r="J4" s="76"/>
      <s:c r="K4" s="26">
        <s:v>8</s:v>
      </s:c>
      <s:c r="L4" s="27">
        <s:v>8</s:v>
      </s:c>
      <s:c r="M4" s="79">
        <s:v>8</s:v>
      </s:c>
      <s:c r="N4" s="26">
        <s:v>8</s:v>
      </s:c>
      <s:c r="O4" s="80">
        <s:v>8</s:v>
      </s:c>
      <s:c r="P4" s="76">
        <s:v>8</s:v>
      </s:c>
      <s:c r="Q4" s="26">
        <s:v>8</s:v>
      </s:c>
      <s:c r="R4" s="27">
        <s:v>8</s:v>
      </s:c>
      <s:c r="S4" s="79">
        <s:v>8</s:v>
      </s:c>
      <s:c r="T4" s="26"/>
      <s:c r="U4" s="80"/>
      <s:c r="V4" s="76"/>
      <s:c r="W4" s="26"/>
      <s:c r="X4" s="27"/>
      <s:c r="Y4" s="79"/>
      <s:c r="Z4" s="26"/>
      <s:c r="AA4" s="80"/>
      <s:c r="AB4" s="76"/>
      <s:c r="AC4" s="26"/>
      <s:c r="AD4" s="27"/>
      <s:c r="AE4" s="79"/>
      <s:c r="AF4" s="26"/>
      <s:c r="AG4" s="80"/>
      <s:c r="AH4" s="76"/>
      <s:c r="AI4" s="26"/>
      <s:c r="AJ4" s="27"/>
      <s:c r="AK4" s="79"/>
      <s:c r="AL4" s="26"/>
      <s:c r="AM4" s="80"/>
      <s:c r="AN4" s="76"/>
      <s:c r="AO4" s="26"/>
      <s:c r="AP4" s="27"/>
      <s:c r="AQ4" s="79"/>
      <s:c r="AR4" s="26"/>
      <s:c r="AS4" s="80"/>
      <s:c r="AT4" s="76"/>
      <s:c r="AU4" s="26"/>
      <s:c r="AV4" s="27"/>
      <s:c r="AW4" s="79"/>
      <s:c r="AX4" s="26"/>
      <s:c r="AY4" s="80"/>
      <s:c r="AZ4" s="76"/>
      <s:c r="BA4" s="26"/>
      <s:c r="BB4" s="27"/>
      <s:c r="BC4" s="79"/>
      <s:c r="BD4" s="26"/>
      <s:c r="BE4" s="80"/>
      <s:c r="BF4" s="76"/>
      <s:c r="BG4" s="26"/>
      <s:c r="BH4" s="27"/>
      <s:c r="BI4" s="79"/>
      <s:c r="BJ4" s="26"/>
      <s:c r="BK4" s="80"/>
      <s:c r="BL4" s="76"/>
      <s:c r="BM4" s="26"/>
      <s:c r="BN4" s="27"/>
      <s:c r="BO4" s="79"/>
      <s:c r="BP4" s="26"/>
      <s:c r="BQ4" s="80"/>
      <s:c r="BR4" s="76"/>
      <s:c r="BS4" s="26"/>
      <s:c r="BT4" s="27"/>
      <s:c r="BU4" s="79"/>
      <s:c r="BV4" s="26"/>
      <s:c r="BW4" s="80"/>
      <s:c r="BX4" s="76"/>
      <s:c r="BY4" s="26"/>
      <s:c r="BZ4" s="27"/>
      <s:c r="CA4" s="79"/>
      <s:c r="CB4" s="26"/>
      <s:c r="CC4" s="80"/>
      <s:c r="CD4" s="76"/>
      <s:c r="CE4" s="26"/>
      <s:c r="CF4" s="27"/>
      <s:c r="CG4" s="79"/>
      <s:c r="CH4" s="26"/>
      <s:c r="CI4" s="80"/>
      <s:c r="CJ4" s="76"/>
      <s:c r="CK4" s="26"/>
      <s:c r="CL4" s="27"/>
      <s:c r="CM4" s="79"/>
      <s:c r="CN4" s="26"/>
      <s:c r="CO4" s="80"/>
      <s:c r="CP4" s="76"/>
      <s:c r="CQ4" s="26"/>
      <s:c r="CR4" s="27"/>
      <s:c r="CS4" s="62">
        <s:f>SUMIFS(D4:CR4,$D$3:$CR$3,"З")</s:f>
        <s:v>24</s:v>
      </s:c>
      <s:c r="CT4" s="63">
        <s:f>SUMIFS(D4:CR4,$D$3:$CR$3,"О")</s:f>
        <s:v>24</s:v>
      </s:c>
      <s:c r="CU4" s="63">
        <s:f>SUMIFS(D4:CR4,$D$3:$CR$3,"У")</s:f>
        <s:v>24</s:v>
      </s:c>
      <s:c r="CV4" s="28">
        <s:f>IF(C4="Да",CS4*$D$46+CT4*$D$47+CU4*$D$48,CS4*$C$46+CT4*$C$47+CU4*$C$48)</s:f>
        <s:v>63600</s:v>
      </s:c>
      <s:c r="CW4" s="29">
        <s:f>IF(C4="Нет",CV4,"")</s:f>
        <s:v>63600</s:v>
      </s:c>
      <s:c r="CX4" s="30" t="str">
        <s:f>IF(C4="Да",CV4,"")</s:f>
        <s:v/>
      </s:c>
      <s:c r="CY4" s="30" t="str">
        <s:f>IF(C4="Налич",CV4,"")</s:f>
        <s:v/>
      </s:c>
    </s:row>
    <s:row r="5" ht="21.75">
      <s:c r="A5" s="23"/>
      <s:c r="B5" s="31" t="s">
        <s:v>6</s:v>
      </s:c>
      <s:c r="C5" s="32" t="s">
        <s:v>28</s:v>
      </s:c>
      <s:c r="D5" s="51"/>
      <s:c r="E5" s="52"/>
      <s:c r="F5" s="74"/>
      <s:c r="G5" s="79"/>
      <s:c r="H5" s="26"/>
      <s:c r="I5" s="80"/>
      <s:c r="J5" s="76"/>
      <s:c r="K5" s="26"/>
      <s:c r="L5" s="27"/>
      <s:c r="M5" s="79"/>
      <s:c r="N5" s="26"/>
      <s:c r="O5" s="80"/>
      <s:c r="P5" s="76"/>
      <s:c r="Q5" s="26"/>
      <s:c r="R5" s="27"/>
      <s:c r="S5" s="79"/>
      <s:c r="T5" s="26"/>
      <s:c r="U5" s="80"/>
      <s:c r="V5" s="76"/>
      <s:c r="W5" s="26"/>
      <s:c r="X5" s="27"/>
      <s:c r="Y5" s="79"/>
      <s:c r="Z5" s="26">
        <s:v>35</s:v>
      </s:c>
      <s:c r="AA5" s="80">
        <s:v>35</s:v>
      </s:c>
      <s:c r="AB5" s="76">
        <s:v>35</s:v>
      </s:c>
      <s:c r="AC5" s="26">
        <s:v>35</s:v>
      </s:c>
      <s:c r="AD5" s="27">
        <s:v>35</s:v>
      </s:c>
      <s:c r="AE5" s="79">
        <s:v>35</s:v>
      </s:c>
      <s:c r="AF5" s="26">
        <s:v>35</s:v>
      </s:c>
      <s:c r="AG5" s="80">
        <s:v>35</s:v>
      </s:c>
      <s:c r="AH5" s="76">
        <s:v>35</s:v>
      </s:c>
      <s:c r="AI5" s="26">
        <s:v>35</s:v>
      </s:c>
      <s:c r="AJ5" s="27">
        <s:v>35</s:v>
      </s:c>
      <s:c r="AK5" s="79">
        <s:v>7</s:v>
      </s:c>
      <s:c r="AL5" s="26">
        <s:v>7</s:v>
      </s:c>
      <s:c r="AM5" s="80">
        <s:v>7</s:v>
      </s:c>
      <s:c r="AN5" s="76">
        <s:v>7</s:v>
      </s:c>
      <s:c r="AO5" s="26">
        <s:v>7</s:v>
      </s:c>
      <s:c r="AP5" s="27">
        <s:v>7</s:v>
      </s:c>
      <s:c r="AQ5" s="79">
        <s:v>7</s:v>
      </s:c>
      <s:c r="AR5" s="26"/>
      <s:c r="AS5" s="80"/>
      <s:c r="AT5" s="76"/>
      <s:c r="AU5" s="26"/>
      <s:c r="AV5" s="27"/>
      <s:c r="AW5" s="79"/>
      <s:c r="AX5" s="26"/>
      <s:c r="AY5" s="80"/>
      <s:c r="AZ5" s="76"/>
      <s:c r="BA5" s="26"/>
      <s:c r="BB5" s="27"/>
      <s:c r="BC5" s="79"/>
      <s:c r="BD5" s="26"/>
      <s:c r="BE5" s="80"/>
      <s:c r="BF5" s="76"/>
      <s:c r="BG5" s="26"/>
      <s:c r="BH5" s="27"/>
      <s:c r="BI5" s="79"/>
      <s:c r="BJ5" s="26"/>
      <s:c r="BK5" s="80"/>
      <s:c r="BL5" s="76"/>
      <s:c r="BM5" s="26"/>
      <s:c r="BN5" s="27"/>
      <s:c r="BO5" s="79"/>
      <s:c r="BP5" s="26"/>
      <s:c r="BQ5" s="80"/>
      <s:c r="BR5" s="76"/>
      <s:c r="BS5" s="26"/>
      <s:c r="BT5" s="27"/>
      <s:c r="BU5" s="79"/>
      <s:c r="BV5" s="26"/>
      <s:c r="BW5" s="80"/>
      <s:c r="BX5" s="76"/>
      <s:c r="BY5" s="26"/>
      <s:c r="BZ5" s="27"/>
      <s:c r="CA5" s="79"/>
      <s:c r="CB5" s="26"/>
      <s:c r="CC5" s="80"/>
      <s:c r="CD5" s="76"/>
      <s:c r="CE5" s="26"/>
      <s:c r="CF5" s="27"/>
      <s:c r="CG5" s="79"/>
      <s:c r="CH5" s="26"/>
      <s:c r="CI5" s="80"/>
      <s:c r="CJ5" s="76"/>
      <s:c r="CK5" s="26"/>
      <s:c r="CL5" s="27"/>
      <s:c r="CM5" s="79"/>
      <s:c r="CN5" s="26"/>
      <s:c r="CO5" s="80"/>
      <s:c r="CP5" s="76"/>
      <s:c r="CQ5" s="26"/>
      <s:c r="CR5" s="27"/>
      <s:c r="CS5" s="62">
        <s:f>SUMIFS(D5:CR5,$D$3:$CR$3,"З")</s:f>
        <s:v>126</s:v>
      </s:c>
      <s:c r="CT5" s="63">
        <s:f>SUMIFS(D5:CR5,$D$3:$CR$3,"О")</s:f>
        <s:v>154</s:v>
      </s:c>
      <s:c r="CU5" s="63">
        <s:f>SUMIFS(D5:CR5,$D$3:$CR$3,"У")</s:f>
        <s:v>154</s:v>
      </s:c>
      <s:c r="CV5" s="28">
        <s:f>IF(C5="Да",CS5*$D$46+CT5*$D$47+CU5*$D$48,CS5*$C$46+CT5*$C$47+CU5*$C$48)</s:f>
        <s:v>385700</s:v>
      </s:c>
      <s:c r="CW5" s="29" t="str">
        <s:f>IF(C5="Нет",CV5,"")</s:f>
        <s:v/>
      </s:c>
      <s:c r="CX5" s="30" t="str">
        <s:f>IF(C5="Да",CV5,"")</s:f>
        <s:v/>
      </s:c>
      <s:c r="CY5" s="30">
        <s:f>IF(C5="Налич",CV5,"")</s:f>
        <s:v>385700</s:v>
      </s:c>
    </s:row>
    <s:row r="6" ht="21.75">
      <s:c r="A6" s="23"/>
      <s:c r="B6" s="24" t="s">
        <s:v>7</s:v>
      </s:c>
      <s:c r="C6" s="25" t="s">
        <s:v>18</s:v>
      </s:c>
      <s:c r="D6" s="49"/>
      <s:c r="E6" s="50"/>
      <s:c r="F6" s="74"/>
      <s:c r="G6" s="79"/>
      <s:c r="H6" s="26"/>
      <s:c r="I6" s="80"/>
      <s:c r="J6" s="76"/>
      <s:c r="K6" s="26"/>
      <s:c r="L6" s="27"/>
      <s:c r="M6" s="79"/>
      <s:c r="N6" s="26"/>
      <s:c r="O6" s="80"/>
      <s:c r="P6" s="76"/>
      <s:c r="Q6" s="26"/>
      <s:c r="R6" s="27"/>
      <s:c r="S6" s="79"/>
      <s:c r="T6" s="26"/>
      <s:c r="U6" s="80"/>
      <s:c r="V6" s="76"/>
      <s:c r="W6" s="26"/>
      <s:c r="X6" s="27"/>
      <s:c r="Y6" s="79"/>
      <s:c r="Z6" s="26"/>
      <s:c r="AA6" s="80"/>
      <s:c r="AB6" s="76"/>
      <s:c r="AC6" s="26"/>
      <s:c r="AD6" s="27"/>
      <s:c r="AE6" s="79"/>
      <s:c r="AF6" s="26"/>
      <s:c r="AG6" s="80"/>
      <s:c r="AH6" s="76"/>
      <s:c r="AI6" s="26"/>
      <s:c r="AJ6" s="27"/>
      <s:c r="AK6" s="79"/>
      <s:c r="AL6" s="26"/>
      <s:c r="AM6" s="80"/>
      <s:c r="AN6" s="76"/>
      <s:c r="AO6" s="26"/>
      <s:c r="AP6" s="27"/>
      <s:c r="AQ6" s="79"/>
      <s:c r="AR6" s="26">
        <s:v>9.18</s:v>
      </s:c>
      <s:c r="AS6" s="117">
        <s:v>8</s:v>
      </s:c>
      <s:c r="AT6" s="118">
        <s:v>8</s:v>
      </s:c>
      <s:c r="AU6" s="119">
        <s:v>8</s:v>
      </s:c>
      <s:c r="AV6" s="120">
        <s:v>8</s:v>
      </s:c>
      <s:c r="AW6" s="121">
        <s:v>8</s:v>
      </s:c>
      <s:c r="AX6" s="119">
        <s:v>8</s:v>
      </s:c>
      <s:c r="AY6" s="117">
        <s:v>8</s:v>
      </s:c>
      <s:c r="AZ6" s="118">
        <s:v>8</s:v>
      </s:c>
      <s:c r="BA6" s="119"/>
      <s:c r="BB6" s="120"/>
      <s:c r="BC6" s="121"/>
      <s:c r="BD6" s="26"/>
      <s:c r="BE6" s="80"/>
      <s:c r="BF6" s="76"/>
      <s:c r="BG6" s="26"/>
      <s:c r="BH6" s="27"/>
      <s:c r="BI6" s="79"/>
      <s:c r="BJ6" s="26"/>
      <s:c r="BK6" s="80"/>
      <s:c r="BL6" s="76"/>
      <s:c r="BM6" s="26"/>
      <s:c r="BN6" s="27"/>
      <s:c r="BO6" s="79"/>
      <s:c r="BP6" s="26"/>
      <s:c r="BQ6" s="80"/>
      <s:c r="BR6" s="76"/>
      <s:c r="BS6" s="26"/>
      <s:c r="BT6" s="27"/>
      <s:c r="BU6" s="79"/>
      <s:c r="BV6" s="26"/>
      <s:c r="BW6" s="80"/>
      <s:c r="BX6" s="76"/>
      <s:c r="BY6" s="26"/>
      <s:c r="BZ6" s="27"/>
      <s:c r="CA6" s="79"/>
      <s:c r="CB6" s="26"/>
      <s:c r="CC6" s="80"/>
      <s:c r="CD6" s="76"/>
      <s:c r="CE6" s="26"/>
      <s:c r="CF6" s="27"/>
      <s:c r="CG6" s="79"/>
      <s:c r="CH6" s="26"/>
      <s:c r="CI6" s="80"/>
      <s:c r="CJ6" s="76"/>
      <s:c r="CK6" s="26"/>
      <s:c r="CL6" s="27"/>
      <s:c r="CM6" s="79"/>
      <s:c r="CN6" s="26"/>
      <s:c r="CO6" s="80"/>
      <s:c r="CP6" s="76"/>
      <s:c r="CQ6" s="26"/>
      <s:c r="CR6" s="27"/>
      <s:c r="CS6" s="62">
        <s:f>SUMIFS(D6:CR6,$D$3:$CR$3,"З")</s:f>
        <s:v>24</s:v>
      </s:c>
      <s:c r="CT6" s="63">
        <s:f>SUMIFS(D6:CR6,$D$3:$CR$3,"О")</s:f>
        <s:v>25.18</s:v>
      </s:c>
      <s:c r="CU6" s="63">
        <s:f>SUMIFS(D6:CR6,$D$3:$CR$3,"У")</s:f>
        <s:v>24</s:v>
      </s:c>
      <s:c r="CV6" s="28">
        <s:f>IF(C6="Да",CS6*$D$46+CT6*$D$47+CU6*$D$48,CS6*$C$46+CT6*$C$47+CU6*$C$48)</s:f>
        <s:v>64780</s:v>
      </s:c>
      <s:c r="CW6" s="29">
        <s:f>IF(C6="Нет",CV6,"")</s:f>
        <s:v>64780</s:v>
      </s:c>
      <s:c r="CX6" s="30" t="str">
        <s:f>IF(C6="Да",CV6,"")</s:f>
        <s:v/>
      </s:c>
      <s:c r="CY6" s="30" t="str">
        <s:f>IF(C6="Налич",CV6,"")</s:f>
        <s:v/>
      </s:c>
      <s:c r="CZ6" s="122"/>
    </s:row>
    <s:row r="7" ht="21.75">
      <s:c r="A7" s="23"/>
      <s:c r="B7" s="24" t="s">
        <s:v>7</s:v>
      </s:c>
      <s:c r="C7" s="25" t="s">
        <s:v>28</s:v>
      </s:c>
      <s:c r="D7" s="49"/>
      <s:c r="E7" s="50"/>
      <s:c r="F7" s="74"/>
      <s:c r="G7" s="79"/>
      <s:c r="H7" s="26"/>
      <s:c r="I7" s="80"/>
      <s:c r="J7" s="76"/>
      <s:c r="K7" s="26"/>
      <s:c r="L7" s="27"/>
      <s:c r="M7" s="79"/>
      <s:c r="N7" s="26"/>
      <s:c r="O7" s="80"/>
      <s:c r="P7" s="76"/>
      <s:c r="Q7" s="26"/>
      <s:c r="R7" s="27"/>
      <s:c r="S7" s="79"/>
      <s:c r="T7" s="26"/>
      <s:c r="U7" s="80"/>
      <s:c r="V7" s="76"/>
      <s:c r="W7" s="26"/>
      <s:c r="X7" s="27"/>
      <s:c r="Y7" s="79"/>
      <s:c r="Z7" s="26"/>
      <s:c r="AA7" s="80"/>
      <s:c r="AB7" s="76"/>
      <s:c r="AC7" s="26"/>
      <s:c r="AD7" s="27"/>
      <s:c r="AE7" s="79"/>
      <s:c r="AF7" s="26"/>
      <s:c r="AG7" s="80"/>
      <s:c r="AH7" s="76"/>
      <s:c r="AI7" s="26"/>
      <s:c r="AJ7" s="27"/>
      <s:c r="AK7" s="79"/>
      <s:c r="AL7" s="26"/>
      <s:c r="AM7" s="80"/>
      <s:c r="AN7" s="76"/>
      <s:c r="AO7" s="26"/>
      <s:c r="AP7" s="27"/>
      <s:c r="AQ7" s="79"/>
      <s:c r="AR7" s="26">
        <s:f>16-AR6</s:f>
        <s:v>6.82</s:v>
      </s:c>
      <s:c r="AS7" s="117">
        <s:v>8</s:v>
      </s:c>
      <s:c r="AT7" s="118">
        <s:v>8</s:v>
      </s:c>
      <s:c r="AU7" s="119">
        <s:v>8</s:v>
      </s:c>
      <s:c r="AV7" s="120">
        <s:v>8</s:v>
      </s:c>
      <s:c r="AW7" s="121">
        <s:v>8</s:v>
      </s:c>
      <s:c r="AX7" s="119">
        <s:v>8</s:v>
      </s:c>
      <s:c r="AY7" s="117">
        <s:v>8</s:v>
      </s:c>
      <s:c r="AZ7" s="118">
        <s:v>8</s:v>
      </s:c>
      <s:c r="BA7" s="26"/>
      <s:c r="BB7" s="27"/>
      <s:c r="BC7" s="79"/>
      <s:c r="BD7" s="26"/>
      <s:c r="BE7" s="80"/>
      <s:c r="BF7" s="76"/>
      <s:c r="BG7" s="26"/>
      <s:c r="BH7" s="27"/>
      <s:c r="BI7" s="79"/>
      <s:c r="BJ7" s="26"/>
      <s:c r="BK7" s="80"/>
      <s:c r="BL7" s="76"/>
      <s:c r="BM7" s="26"/>
      <s:c r="BN7" s="27"/>
      <s:c r="BO7" s="79"/>
      <s:c r="BP7" s="26"/>
      <s:c r="BQ7" s="80"/>
      <s:c r="BR7" s="118"/>
      <s:c r="BS7" s="119"/>
      <s:c r="BT7" s="120" t="s">
        <s:v>0</s:v>
      </s:c>
      <s:c r="BU7" s="121"/>
      <s:c r="BV7" s="119"/>
      <s:c r="BW7" s="80"/>
      <s:c r="BX7" s="76"/>
      <s:c r="BY7" s="26"/>
      <s:c r="BZ7" s="27"/>
      <s:c r="CA7" s="79"/>
      <s:c r="CB7" s="26"/>
      <s:c r="CC7" s="80"/>
      <s:c r="CD7" s="76"/>
      <s:c r="CE7" s="26"/>
      <s:c r="CF7" s="27"/>
      <s:c r="CG7" s="79"/>
      <s:c r="CH7" s="26"/>
      <s:c r="CI7" s="80"/>
      <s:c r="CJ7" s="76"/>
      <s:c r="CK7" s="26"/>
      <s:c r="CL7" s="27"/>
      <s:c r="CM7" s="79"/>
      <s:c r="CN7" s="26"/>
      <s:c r="CO7" s="80"/>
      <s:c r="CP7" s="76"/>
      <s:c r="CQ7" s="26"/>
      <s:c r="CR7" s="27"/>
      <s:c r="CS7" s="62">
        <s:f>SUMIFS(D7:CR7,$D$3:$CR$3,"З")</s:f>
        <s:v>24</s:v>
      </s:c>
      <s:c r="CT7" s="63">
        <s:f>SUMIFS(D7:CR7,$D$3:$CR$3,"О")</s:f>
        <s:v>22.82</s:v>
      </s:c>
      <s:c r="CU7" s="63">
        <s:f>SUMIFS(D7:CR7,$D$3:$CR$3,"У")</s:f>
        <s:v>24</s:v>
      </s:c>
      <s:c r="CV7" s="28">
        <s:f>IF(C7="Да",CS7*$D$46+CT7*$D$47+CU7*$D$48,CS7*$C$46+CT7*$C$47+CU7*$C$48)</s:f>
        <s:v>62420</s:v>
      </s:c>
      <s:c r="CW7" s="29" t="str">
        <s:f>IF(C7="Нет",CV7,"")</s:f>
        <s:v/>
      </s:c>
      <s:c r="CX7" s="30" t="str">
        <s:f>IF(C7="Да",CV7,"")</s:f>
        <s:v/>
      </s:c>
      <s:c r="CY7" s="30">
        <s:f>IF(C7="Налич",CV7,"")</s:f>
        <s:v>62420</s:v>
      </s:c>
      <s:c r="CZ7" s="122"/>
    </s:row>
    <s:row r="8" ht="21.75">
      <s:c r="A8" s="23">
        <s:v>107</s:v>
      </s:c>
      <s:c r="B8" s="24" t="s">
        <s:v>42</s:v>
      </s:c>
      <s:c r="C8" s="25" t="s">
        <s:v>28</s:v>
      </s:c>
      <s:c r="D8" s="49"/>
      <s:c r="E8" s="50"/>
      <s:c r="F8" s="74"/>
      <s:c r="G8" s="79"/>
      <s:c r="H8" s="26"/>
      <s:c r="I8" s="80"/>
      <s:c r="J8" s="76">
        <s:v>2</s:v>
      </s:c>
      <s:c r="K8" s="26"/>
      <s:c r="L8" s="27"/>
      <s:c r="M8" s="79"/>
      <s:c r="N8" s="26"/>
      <s:c r="O8" s="80"/>
      <s:c r="P8" s="76"/>
      <s:c r="Q8" s="26"/>
      <s:c r="R8" s="27"/>
      <s:c r="S8" s="79"/>
      <s:c r="T8" s="26"/>
      <s:c r="U8" s="80"/>
      <s:c r="V8" s="76"/>
      <s:c r="W8" s="26"/>
      <s:c r="X8" s="27"/>
      <s:c r="Y8" s="79"/>
      <s:c r="Z8" s="26"/>
      <s:c r="AA8" s="80"/>
      <s:c r="AB8" s="76"/>
      <s:c r="AC8" s="26"/>
      <s:c r="AD8" s="27"/>
      <s:c r="AE8" s="79"/>
      <s:c r="AF8" s="26"/>
      <s:c r="AG8" s="80"/>
      <s:c r="AH8" s="76"/>
      <s:c r="AI8" s="26"/>
      <s:c r="AJ8" s="27"/>
      <s:c r="AK8" s="79"/>
      <s:c r="AL8" s="26"/>
      <s:c r="AM8" s="80"/>
      <s:c r="AN8" s="76"/>
      <s:c r="AO8" s="26"/>
      <s:c r="AP8" s="27"/>
      <s:c r="AQ8" s="79"/>
      <s:c r="AR8" s="26"/>
      <s:c r="AS8" s="80"/>
      <s:c r="AT8" s="76"/>
      <s:c r="AU8" s="26"/>
      <s:c r="AV8" s="27"/>
      <s:c r="AW8" s="79"/>
      <s:c r="AX8" s="26"/>
      <s:c r="AY8" s="80"/>
      <s:c r="AZ8" s="76"/>
      <s:c r="BA8" s="26"/>
      <s:c r="BB8" s="27"/>
      <s:c r="BC8" s="79"/>
      <s:c r="BD8" s="26"/>
      <s:c r="BE8" s="80"/>
      <s:c r="BF8" s="76"/>
      <s:c r="BG8" s="26"/>
      <s:c r="BH8" s="27"/>
      <s:c r="BI8" s="79"/>
      <s:c r="BJ8" s="26"/>
      <s:c r="BK8" s="80"/>
      <s:c r="BL8" s="76"/>
      <s:c r="BM8" s="26"/>
      <s:c r="BN8" s="27"/>
      <s:c r="BO8" s="79"/>
      <s:c r="BP8" s="26"/>
      <s:c r="BQ8" s="80"/>
      <s:c r="BR8" s="76"/>
      <s:c r="BS8" s="26"/>
      <s:c r="BT8" s="27"/>
      <s:c r="BU8" s="79"/>
      <s:c r="BV8" s="26"/>
      <s:c r="BW8" s="80"/>
      <s:c r="BX8" s="76"/>
      <s:c r="BY8" s="26"/>
      <s:c r="BZ8" s="27"/>
      <s:c r="CA8" s="79"/>
      <s:c r="CB8" s="26"/>
      <s:c r="CC8" s="80"/>
      <s:c r="CD8" s="76"/>
      <s:c r="CE8" s="26"/>
      <s:c r="CF8" s="27"/>
      <s:c r="CG8" s="79"/>
      <s:c r="CH8" s="26"/>
      <s:c r="CI8" s="80"/>
      <s:c r="CJ8" s="76"/>
      <s:c r="CK8" s="26"/>
      <s:c r="CL8" s="27"/>
      <s:c r="CM8" s="79"/>
      <s:c r="CN8" s="26"/>
      <s:c r="CO8" s="80"/>
      <s:c r="CP8" s="76"/>
      <s:c r="CQ8" s="26"/>
      <s:c r="CR8" s="27"/>
      <s:c r="CS8" s="62">
        <s:f>SUMIFS(D8:CR8,$D$3:$CR$3,"З")</s:f>
        <s:v>2</s:v>
      </s:c>
      <s:c r="CT8" s="63">
        <s:f>SUMIFS(D8:CR8,$D$3:$CR$3,"О")</s:f>
        <s:v>0</s:v>
      </s:c>
      <s:c r="CU8" s="63">
        <s:f>SUMIFS(D8:CR8,$D$3:$CR$3,"У")</s:f>
        <s:v>0</s:v>
      </s:c>
      <s:c r="CV8" s="28">
        <s:f>IF(C8="Да",CS8*$D$46+CT8*$D$47+CU8*$D$48,CS8*$C$46+CT8*$C$47+CU8*$C$48)</s:f>
        <s:v>1600</s:v>
      </s:c>
      <s:c r="CW8" s="29" t="str">
        <s:f>IF(C8="Нет",CV8,"")</s:f>
        <s:v/>
      </s:c>
      <s:c r="CX8" s="30" t="str">
        <s:f>IF(C8="Да",CV8,"")</s:f>
        <s:v/>
      </s:c>
      <s:c r="CY8" s="30">
        <s:f>IF(C8="Налич",CV8,"")</s:f>
        <s:v>1600</s:v>
      </s:c>
      <s:c r="CZ8" s="122" t="s">
        <s:v>45</s:v>
      </s:c>
    </s:row>
    <s:row r="9" ht="21.75">
      <s:c r="A9" s="23">
        <s:v>108</s:v>
      </s:c>
      <s:c r="B9" s="24" t="s">
        <s:v>43</s:v>
      </s:c>
      <s:c r="C9" s="25" t="s">
        <s:v>28</s:v>
      </s:c>
      <s:c r="D9" s="49"/>
      <s:c r="E9" s="50"/>
      <s:c r="F9" s="74"/>
      <s:c r="G9" s="79"/>
      <s:c r="H9" s="26"/>
      <s:c r="I9" s="80"/>
      <s:c r="J9" s="76"/>
      <s:c r="K9" s="26"/>
      <s:c r="L9" s="27"/>
      <s:c r="M9" s="79"/>
      <s:c r="N9" s="26"/>
      <s:c r="O9" s="80"/>
      <s:c r="P9" s="76"/>
      <s:c r="Q9" s="26"/>
      <s:c r="R9" s="27"/>
      <s:c r="S9" s="79">
        <s:v>2</s:v>
      </s:c>
      <s:c r="T9" s="26"/>
      <s:c r="U9" s="80"/>
      <s:c r="V9" s="76"/>
      <s:c r="W9" s="26"/>
      <s:c r="X9" s="27"/>
      <s:c r="Y9" s="79"/>
      <s:c r="Z9" s="26"/>
      <s:c r="AA9" s="80"/>
      <s:c r="AB9" s="76"/>
      <s:c r="AC9" s="26"/>
      <s:c r="AD9" s="27"/>
      <s:c r="AE9" s="79"/>
      <s:c r="AF9" s="26"/>
      <s:c r="AG9" s="80"/>
      <s:c r="AH9" s="76"/>
      <s:c r="AI9" s="26"/>
      <s:c r="AJ9" s="27"/>
      <s:c r="AK9" s="79"/>
      <s:c r="AL9" s="26"/>
      <s:c r="AM9" s="80"/>
      <s:c r="AN9" s="76"/>
      <s:c r="AO9" s="26"/>
      <s:c r="AP9" s="27"/>
      <s:c r="AQ9" s="79"/>
      <s:c r="AR9" s="26"/>
      <s:c r="AS9" s="80"/>
      <s:c r="AT9" s="76"/>
      <s:c r="AU9" s="26"/>
      <s:c r="AV9" s="27"/>
      <s:c r="AW9" s="79"/>
      <s:c r="AX9" s="26"/>
      <s:c r="AY9" s="80"/>
      <s:c r="AZ9" s="76"/>
      <s:c r="BA9" s="26"/>
      <s:c r="BB9" s="27"/>
      <s:c r="BC9" s="79"/>
      <s:c r="BD9" s="26"/>
      <s:c r="BE9" s="80"/>
      <s:c r="BF9" s="76"/>
      <s:c r="BG9" s="26"/>
      <s:c r="BH9" s="27"/>
      <s:c r="BI9" s="79"/>
      <s:c r="BJ9" s="26"/>
      <s:c r="BK9" s="80"/>
      <s:c r="BL9" s="76"/>
      <s:c r="BM9" s="26"/>
      <s:c r="BN9" s="27"/>
      <s:c r="BO9" s="79"/>
      <s:c r="BP9" s="26"/>
      <s:c r="BQ9" s="80"/>
      <s:c r="BR9" s="76"/>
      <s:c r="BS9" s="26"/>
      <s:c r="BT9" s="27"/>
      <s:c r="BU9" s="79"/>
      <s:c r="BV9" s="26"/>
      <s:c r="BW9" s="80"/>
      <s:c r="BX9" s="76"/>
      <s:c r="BY9" s="26"/>
      <s:c r="BZ9" s="27"/>
      <s:c r="CA9" s="79"/>
      <s:c r="CB9" s="26"/>
      <s:c r="CC9" s="80"/>
      <s:c r="CD9" s="76"/>
      <s:c r="CE9" s="26"/>
      <s:c r="CF9" s="27"/>
      <s:c r="CG9" s="79"/>
      <s:c r="CH9" s="26"/>
      <s:c r="CI9" s="80"/>
      <s:c r="CJ9" s="76"/>
      <s:c r="CK9" s="26"/>
      <s:c r="CL9" s="27"/>
      <s:c r="CM9" s="79"/>
      <s:c r="CN9" s="26"/>
      <s:c r="CO9" s="80"/>
      <s:c r="CP9" s="76"/>
      <s:c r="CQ9" s="26"/>
      <s:c r="CR9" s="27"/>
      <s:c r="CS9" s="62">
        <s:f>SUMIFS(D9:CR9,$D$3:$CR$3,"З")</s:f>
        <s:v>2</s:v>
      </s:c>
      <s:c r="CT9" s="63">
        <s:f>SUMIFS(D9:CR9,$D$3:$CR$3,"О")</s:f>
        <s:v>0</s:v>
      </s:c>
      <s:c r="CU9" s="63">
        <s:f>SUMIFS(D9:CR9,$D$3:$CR$3,"У")</s:f>
        <s:v>0</s:v>
      </s:c>
      <s:c r="CV9" s="28">
        <s:f>IF(C9="Да",CS9*$D$46+CT9*$D$47+CU9*$D$48,CS9*$C$46+CT9*$C$47+CU9*$C$48)</s:f>
        <s:v>1600</s:v>
      </s:c>
      <s:c r="CW9" s="29" t="str">
        <s:f>IF(C9="Нет",CV9,"")</s:f>
        <s:v/>
      </s:c>
      <s:c r="CX9" s="30" t="str">
        <s:f>IF(C9="Да",CV9,"")</s:f>
        <s:v/>
      </s:c>
      <s:c r="CY9" s="30">
        <s:f>IF(C9="Налич",CV9,"")</s:f>
        <s:v>1600</s:v>
      </s:c>
      <s:c r="CZ9" s="122" t="s">
        <s:v>45</s:v>
      </s:c>
    </s:row>
    <s:row r="10" ht="21.75">
      <s:c r="A10" s="23"/>
      <s:c r="B10" s="24" t="s">
        <s:v>44</s:v>
      </s:c>
      <s:c r="C10" s="25" t="s">
        <s:v>28</s:v>
      </s:c>
      <s:c r="D10" s="49"/>
      <s:c r="E10" s="50"/>
      <s:c r="F10" s="74"/>
      <s:c r="G10" s="79"/>
      <s:c r="H10" s="26"/>
      <s:c r="I10" s="80"/>
      <s:c r="J10" s="76"/>
      <s:c r="K10" s="26"/>
      <s:c r="L10" s="27"/>
      <s:c r="M10" s="79"/>
      <s:c r="N10" s="26"/>
      <s:c r="O10" s="80"/>
      <s:c r="P10" s="76"/>
      <s:c r="Q10" s="26"/>
      <s:c r="R10" s="27"/>
      <s:c r="S10" s="79"/>
      <s:c r="T10" s="26"/>
      <s:c r="U10" s="80"/>
      <s:c r="V10" s="76">
        <s:v>2</s:v>
      </s:c>
      <s:c r="W10" s="26"/>
      <s:c r="X10" s="27"/>
      <s:c r="Y10" s="79"/>
      <s:c r="Z10" s="26"/>
      <s:c r="AA10" s="80"/>
      <s:c r="AB10" s="76"/>
      <s:c r="AC10" s="26"/>
      <s:c r="AD10" s="27"/>
      <s:c r="AE10" s="79"/>
      <s:c r="AF10" s="26"/>
      <s:c r="AG10" s="80"/>
      <s:c r="AH10" s="76"/>
      <s:c r="AI10" s="26"/>
      <s:c r="AJ10" s="27"/>
      <s:c r="AK10" s="79"/>
      <s:c r="AL10" s="26"/>
      <s:c r="AM10" s="80"/>
      <s:c r="AN10" s="76"/>
      <s:c r="AO10" s="26"/>
      <s:c r="AP10" s="27"/>
      <s:c r="AQ10" s="79"/>
      <s:c r="AR10" s="26"/>
      <s:c r="AS10" s="80"/>
      <s:c r="AT10" s="76"/>
      <s:c r="AU10" s="26"/>
      <s:c r="AV10" s="27"/>
      <s:c r="AW10" s="79"/>
      <s:c r="AX10" s="26"/>
      <s:c r="AY10" s="80"/>
      <s:c r="AZ10" s="76"/>
      <s:c r="BA10" s="26"/>
      <s:c r="BB10" s="27"/>
      <s:c r="BC10" s="79"/>
      <s:c r="BD10" s="26"/>
      <s:c r="BE10" s="80"/>
      <s:c r="BF10" s="76"/>
      <s:c r="BG10" s="26"/>
      <s:c r="BH10" s="27"/>
      <s:c r="BI10" s="79"/>
      <s:c r="BJ10" s="26"/>
      <s:c r="BK10" s="80"/>
      <s:c r="BL10" s="76"/>
      <s:c r="BM10" s="26"/>
      <s:c r="BN10" s="27"/>
      <s:c r="BO10" s="79"/>
      <s:c r="BP10" s="26"/>
      <s:c r="BQ10" s="80"/>
      <s:c r="BR10" s="76"/>
      <s:c r="BS10" s="26"/>
      <s:c r="BT10" s="27"/>
      <s:c r="BU10" s="79"/>
      <s:c r="BV10" s="26"/>
      <s:c r="BW10" s="80"/>
      <s:c r="BX10" s="76"/>
      <s:c r="BY10" s="26"/>
      <s:c r="BZ10" s="27"/>
      <s:c r="CA10" s="79"/>
      <s:c r="CB10" s="26"/>
      <s:c r="CC10" s="80"/>
      <s:c r="CD10" s="76"/>
      <s:c r="CE10" s="26"/>
      <s:c r="CF10" s="27"/>
      <s:c r="CG10" s="79"/>
      <s:c r="CH10" s="26"/>
      <s:c r="CI10" s="80"/>
      <s:c r="CJ10" s="76"/>
      <s:c r="CK10" s="26"/>
      <s:c r="CL10" s="27"/>
      <s:c r="CM10" s="79"/>
      <s:c r="CN10" s="26"/>
      <s:c r="CO10" s="80"/>
      <s:c r="CP10" s="76"/>
      <s:c r="CQ10" s="26"/>
      <s:c r="CR10" s="27"/>
      <s:c r="CS10" s="62">
        <s:f>SUMIFS(D10:CR10,$D$3:$CR$3,"З")</s:f>
        <s:v>2</s:v>
      </s:c>
      <s:c r="CT10" s="63">
        <s:f>SUMIFS(D10:CR10,$D$3:$CR$3,"О")</s:f>
        <s:v>0</s:v>
      </s:c>
      <s:c r="CU10" s="63">
        <s:f>SUMIFS(D10:CR10,$D$3:$CR$3,"У")</s:f>
        <s:v>0</s:v>
      </s:c>
      <s:c r="CV10" s="28">
        <s:f>IF(C10="Да",CS10*$D$46+CT10*$D$47+CU10*$D$48,CS10*$C$46+CT10*$C$47+CU10*$C$48)</s:f>
        <s:v>1600</s:v>
      </s:c>
      <s:c r="CW10" s="29" t="str">
        <s:f>IF(C10="Нет",CV10,"")</s:f>
        <s:v/>
      </s:c>
      <s:c r="CX10" s="30" t="str">
        <s:f>IF(C10="Да",CV10,"")</s:f>
        <s:v/>
      </s:c>
      <s:c r="CY10" s="30">
        <s:f>IF(C10="Налич",CV10,"")</s:f>
        <s:v>1600</s:v>
      </s:c>
      <s:c r="CZ10" s="122" t="s">
        <s:v>45</s:v>
      </s:c>
    </s:row>
    <s:row r="11" ht="21.75">
      <s:c r="A11" s="23" t="s">
        <s:v>92</s:v>
      </s:c>
      <s:c r="B11" s="24" t="s">
        <s:v>46</s:v>
      </s:c>
      <s:c r="C11" s="25" t="s">
        <s:v>18</s:v>
      </s:c>
      <s:c r="D11" s="49"/>
      <s:c r="E11" s="50"/>
      <s:c r="F11" s="74"/>
      <s:c r="G11" s="79"/>
      <s:c r="H11" s="26"/>
      <s:c r="I11" s="80"/>
      <s:c r="J11" s="76"/>
      <s:c r="K11" s="26"/>
      <s:c r="L11" s="27"/>
      <s:c r="M11" s="79"/>
      <s:c r="N11" s="26"/>
      <s:c r="O11" s="80"/>
      <s:c r="P11" s="76"/>
      <s:c r="Q11" s="26"/>
      <s:c r="R11" s="27"/>
      <s:c r="S11" s="79"/>
      <s:c r="T11" s="26"/>
      <s:c r="U11" s="80"/>
      <s:c r="V11" s="76"/>
      <s:c r="W11" s="26"/>
      <s:c r="X11" s="27"/>
      <s:c r="Y11" s="79"/>
      <s:c r="Z11" s="26"/>
      <s:c r="AA11" s="80"/>
      <s:c r="AB11" s="76">
        <s:v>1</s:v>
      </s:c>
      <s:c r="AC11" s="26"/>
      <s:c r="AD11" s="27"/>
      <s:c r="AE11" s="79"/>
      <s:c r="AF11" s="26"/>
      <s:c r="AG11" s="80"/>
      <s:c r="AH11" s="76"/>
      <s:c r="AI11" s="26"/>
      <s:c r="AJ11" s="27"/>
      <s:c r="AK11" s="79"/>
      <s:c r="AL11" s="26"/>
      <s:c r="AM11" s="80"/>
      <s:c r="AN11" s="76"/>
      <s:c r="AO11" s="26"/>
      <s:c r="AP11" s="27"/>
      <s:c r="AQ11" s="79"/>
      <s:c r="AR11" s="26"/>
      <s:c r="AS11" s="80"/>
      <s:c r="AT11" s="76"/>
      <s:c r="AU11" s="26"/>
      <s:c r="AV11" s="27"/>
      <s:c r="AW11" s="79"/>
      <s:c r="AX11" s="26"/>
      <s:c r="AY11" s="80"/>
      <s:c r="AZ11" s="76"/>
      <s:c r="BA11" s="26"/>
      <s:c r="BB11" s="27"/>
      <s:c r="BC11" s="79"/>
      <s:c r="BD11" s="26"/>
      <s:c r="BE11" s="80"/>
      <s:c r="BF11" s="76"/>
      <s:c r="BG11" s="26"/>
      <s:c r="BH11" s="27"/>
      <s:c r="BI11" s="79"/>
      <s:c r="BJ11" s="26"/>
      <s:c r="BK11" s="80"/>
      <s:c r="BL11" s="76"/>
      <s:c r="BM11" s="26"/>
      <s:c r="BN11" s="27"/>
      <s:c r="BO11" s="79"/>
      <s:c r="BP11" s="26"/>
      <s:c r="BQ11" s="80"/>
      <s:c r="BR11" s="76"/>
      <s:c r="BS11" s="26"/>
      <s:c r="BT11" s="27"/>
      <s:c r="BU11" s="79"/>
      <s:c r="BV11" s="26"/>
      <s:c r="BW11" s="80"/>
      <s:c r="BX11" s="76"/>
      <s:c r="BY11" s="26"/>
      <s:c r="BZ11" s="27"/>
      <s:c r="CA11" s="79"/>
      <s:c r="CB11" s="26"/>
      <s:c r="CC11" s="80"/>
      <s:c r="CD11" s="76"/>
      <s:c r="CE11" s="26"/>
      <s:c r="CF11" s="27"/>
      <s:c r="CG11" s="79"/>
      <s:c r="CH11" s="26"/>
      <s:c r="CI11" s="80"/>
      <s:c r="CJ11" s="76"/>
      <s:c r="CK11" s="26"/>
      <s:c r="CL11" s="27"/>
      <s:c r="CM11" s="79"/>
      <s:c r="CN11" s="26"/>
      <s:c r="CO11" s="80"/>
      <s:c r="CP11" s="76"/>
      <s:c r="CQ11" s="26"/>
      <s:c r="CR11" s="27"/>
      <s:c r="CS11" s="62">
        <s:f>SUMIFS(D11:CR11,$D$3:$CR$3,"З")</s:f>
        <s:v>1</s:v>
      </s:c>
      <s:c r="CT11" s="63">
        <s:f>SUMIFS(D11:CR11,$D$3:$CR$3,"О")</s:f>
        <s:v>0</s:v>
      </s:c>
      <s:c r="CU11" s="63">
        <s:f>SUMIFS(D11:CR11,$D$3:$CR$3,"У")</s:f>
        <s:v>0</s:v>
      </s:c>
      <s:c r="CV11" s="28">
        <s:f>IF(C11="Да",CS11*$D$46+CT11*$D$47+CU11*$D$48,CS11*$C$46+CT11*$C$47+CU11*$C$48)</s:f>
        <s:v>800</s:v>
      </s:c>
      <s:c r="CW11" s="29">
        <s:f>IF(C11="Нет",CV11,"")</s:f>
        <s:v>800</s:v>
      </s:c>
      <s:c r="CX11" s="30" t="str">
        <s:f>IF(C11="Да",CV11,"")</s:f>
        <s:v/>
      </s:c>
      <s:c r="CY11" s="30" t="str">
        <s:f>IF(C11="Налич",CV11,"")</s:f>
        <s:v/>
      </s:c>
      <s:c r="CZ11" s="122" t="s">
        <s:v>47</s:v>
      </s:c>
    </s:row>
    <s:row r="12" ht="21.75">
      <s:c r="A12" s="23"/>
      <s:c r="B12" s="24" t="s">
        <s:v>48</s:v>
      </s:c>
      <s:c r="C12" s="25" t="s">
        <s:v>17</s:v>
      </s:c>
      <s:c r="D12" s="49"/>
      <s:c r="E12" s="50"/>
      <s:c r="F12" s="74"/>
      <s:c r="G12" s="79"/>
      <s:c r="H12" s="26"/>
      <s:c r="I12" s="80"/>
      <s:c r="J12" s="76"/>
      <s:c r="K12" s="26"/>
      <s:c r="L12" s="27"/>
      <s:c r="M12" s="79"/>
      <s:c r="N12" s="26"/>
      <s:c r="O12" s="80"/>
      <s:c r="P12" s="76"/>
      <s:c r="Q12" s="26"/>
      <s:c r="R12" s="27"/>
      <s:c r="S12" s="79"/>
      <s:c r="T12" s="26"/>
      <s:c r="U12" s="80"/>
      <s:c r="V12" s="76"/>
      <s:c r="W12" s="26"/>
      <s:c r="X12" s="27"/>
      <s:c r="Y12" s="79"/>
      <s:c r="Z12" s="26"/>
      <s:c r="AA12" s="80"/>
      <s:c r="AB12" s="76"/>
      <s:c r="AC12" s="26"/>
      <s:c r="AD12" s="27"/>
      <s:c r="AE12" s="79"/>
      <s:c r="AF12" s="26"/>
      <s:c r="AG12" s="80"/>
      <s:c r="AH12" s="76"/>
      <s:c r="AI12" s="26"/>
      <s:c r="AJ12" s="27"/>
      <s:c r="AK12" s="79"/>
      <s:c r="AL12" s="26"/>
      <s:c r="AM12" s="80"/>
      <s:c r="AN12" s="76"/>
      <s:c r="AO12" s="26"/>
      <s:c r="AP12" s="27"/>
      <s:c r="AQ12" s="79"/>
      <s:c r="AR12" s="26"/>
      <s:c r="AS12" s="80"/>
      <s:c r="AT12" s="76"/>
      <s:c r="AU12" s="26"/>
      <s:c r="AV12" s="27"/>
      <s:c r="AW12" s="79"/>
      <s:c r="AX12" s="26"/>
      <s:c r="AY12" s="80"/>
      <s:c r="AZ12" s="76"/>
      <s:c r="BA12" s="26"/>
      <s:c r="BB12" s="27"/>
      <s:c r="BC12" s="79"/>
      <s:c r="BD12" s="26"/>
      <s:c r="BE12" s="80"/>
      <s:c r="BF12" s="76"/>
      <s:c r="BG12" s="26"/>
      <s:c r="BH12" s="27"/>
      <s:c r="BI12" s="79"/>
      <s:c r="BJ12" s="26"/>
      <s:c r="BK12" s="80"/>
      <s:c r="BL12" s="76"/>
      <s:c r="BM12" s="26"/>
      <s:c r="BN12" s="27"/>
      <s:c r="BO12" s="79"/>
      <s:c r="BP12" s="26"/>
      <s:c r="BQ12" s="80"/>
      <s:c r="BR12" s="76"/>
      <s:c r="BS12" s="26"/>
      <s:c r="BT12" s="27">
        <s:v>20</s:v>
      </s:c>
      <s:c r="BU12" s="79">
        <s:v>20</s:v>
      </s:c>
      <s:c r="BV12" s="26">
        <s:v>20</s:v>
      </s:c>
      <s:c r="BW12" s="80">
        <s:v>20</s:v>
      </s:c>
      <s:c r="BX12" s="76">
        <s:v>20</s:v>
      </s:c>
      <s:c r="BY12" s="26"/>
      <s:c r="BZ12" s="27"/>
      <s:c r="CA12" s="79"/>
      <s:c r="CB12" s="26"/>
      <s:c r="CC12" s="80"/>
      <s:c r="CD12" s="76"/>
      <s:c r="CE12" s="26"/>
      <s:c r="CF12" s="27"/>
      <s:c r="CG12" s="79"/>
      <s:c r="CH12" s="26"/>
      <s:c r="CI12" s="80"/>
      <s:c r="CJ12" s="76"/>
      <s:c r="CK12" s="26"/>
      <s:c r="CL12" s="27"/>
      <s:c r="CM12" s="79"/>
      <s:c r="CN12" s="26"/>
      <s:c r="CO12" s="80"/>
      <s:c r="CP12" s="76"/>
      <s:c r="CQ12" s="26"/>
      <s:c r="CR12" s="27"/>
      <s:c r="CS12" s="62">
        <s:f>SUMIFS(D12:CR12,$D$3:$CR$3,"З")</s:f>
        <s:v>40</s:v>
      </s:c>
      <s:c r="CT12" s="63">
        <s:f>SUMIFS(D12:CR12,$D$3:$CR$3,"О")</s:f>
        <s:v>20</s:v>
      </s:c>
      <s:c r="CU12" s="63">
        <s:f>SUMIFS(D12:CR12,$D$3:$CR$3,"У")</s:f>
        <s:v>40</s:v>
      </s:c>
      <s:c r="CV12" s="28">
        <s:f>IF(C12="Да",CS12*$D$46+CT12*$D$47+CU12*$D$48,CS12*$C$46+CT12*$C$47+CU12*$C$48)</s:f>
        <s:v>104920</s:v>
      </s:c>
      <s:c r="CW12" s="29" t="str">
        <s:f>IF(C12="Нет",CV12,"")</s:f>
        <s:v/>
      </s:c>
      <s:c r="CX12" s="30">
        <s:f>IF(C12="Да",CV12,"")</s:f>
        <s:v>104920</s:v>
      </s:c>
      <s:c r="CY12" s="30" t="str">
        <s:f>IF(C12="Налич",CV12,"")</s:f>
        <s:v/>
      </s:c>
      <s:c r="CZ12" s="122"/>
    </s:row>
    <s:row r="13" ht="21.75">
      <s:c r="A13" s="23"/>
      <s:c r="B13" s="24" t="s">
        <s:v>49</s:v>
      </s:c>
      <s:c r="C13" s="25" t="s">
        <s:v>18</s:v>
      </s:c>
      <s:c r="D13" s="49"/>
      <s:c r="E13" s="50"/>
      <s:c r="F13" s="74"/>
      <s:c r="G13" s="79"/>
      <s:c r="H13" s="26"/>
      <s:c r="I13" s="80"/>
      <s:c r="J13" s="76"/>
      <s:c r="K13" s="26"/>
      <s:c r="L13" s="27"/>
      <s:c r="M13" s="79"/>
      <s:c r="N13" s="26"/>
      <s:c r="O13" s="80"/>
      <s:c r="P13" s="76"/>
      <s:c r="Q13" s="26"/>
      <s:c r="R13" s="27"/>
      <s:c r="S13" s="79"/>
      <s:c r="T13" s="26"/>
      <s:c r="U13" s="80"/>
      <s:c r="V13" s="76"/>
      <s:c r="W13" s="26"/>
      <s:c r="X13" s="27"/>
      <s:c r="Y13" s="79"/>
      <s:c r="Z13" s="26"/>
      <s:c r="AA13" s="80"/>
      <s:c r="AB13" s="76"/>
      <s:c r="AC13" s="26"/>
      <s:c r="AD13" s="27"/>
      <s:c r="AE13" s="79"/>
      <s:c r="AF13" s="26"/>
      <s:c r="AG13" s="80"/>
      <s:c r="AH13" s="76"/>
      <s:c r="AI13" s="26"/>
      <s:c r="AJ13" s="27"/>
      <s:c r="AK13" s="79"/>
      <s:c r="AL13" s="26"/>
      <s:c r="AM13" s="80"/>
      <s:c r="AN13" s="76"/>
      <s:c r="AO13" s="26"/>
      <s:c r="AP13" s="27"/>
      <s:c r="AQ13" s="79"/>
      <s:c r="AR13" s="26"/>
      <s:c r="AS13" s="80"/>
      <s:c r="AT13" s="76"/>
      <s:c r="AU13" s="26"/>
      <s:c r="AV13" s="27"/>
      <s:c r="AW13" s="79">
        <s:v>1</s:v>
      </s:c>
      <s:c r="AX13" s="26"/>
      <s:c r="AY13" s="80"/>
      <s:c r="AZ13" s="76"/>
      <s:c r="BA13" s="26"/>
      <s:c r="BB13" s="27"/>
      <s:c r="BC13" s="79"/>
      <s:c r="BD13" s="26"/>
      <s:c r="BE13" s="80"/>
      <s:c r="BF13" s="76"/>
      <s:c r="BG13" s="26"/>
      <s:c r="BH13" s="27"/>
      <s:c r="BI13" s="79"/>
      <s:c r="BJ13" s="26"/>
      <s:c r="BK13" s="80"/>
      <s:c r="BL13" s="76"/>
      <s:c r="BM13" s="26"/>
      <s:c r="BN13" s="27"/>
      <s:c r="BO13" s="79"/>
      <s:c r="BP13" s="26"/>
      <s:c r="BQ13" s="80"/>
      <s:c r="BR13" s="76"/>
      <s:c r="BS13" s="26"/>
      <s:c r="BT13" s="27"/>
      <s:c r="BU13" s="79"/>
      <s:c r="BV13" s="26"/>
      <s:c r="BW13" s="80"/>
      <s:c r="BX13" s="76"/>
      <s:c r="BY13" s="26"/>
      <s:c r="BZ13" s="27"/>
      <s:c r="CA13" s="79"/>
      <s:c r="CB13" s="26"/>
      <s:c r="CC13" s="80"/>
      <s:c r="CD13" s="76"/>
      <s:c r="CE13" s="26"/>
      <s:c r="CF13" s="27"/>
      <s:c r="CG13" s="79"/>
      <s:c r="CH13" s="26"/>
      <s:c r="CI13" s="80"/>
      <s:c r="CJ13" s="76"/>
      <s:c r="CK13" s="26"/>
      <s:c r="CL13" s="27"/>
      <s:c r="CM13" s="79"/>
      <s:c r="CN13" s="26"/>
      <s:c r="CO13" s="80"/>
      <s:c r="CP13" s="76"/>
      <s:c r="CQ13" s="26"/>
      <s:c r="CR13" s="27"/>
      <s:c r="CS13" s="62">
        <s:f>SUMIFS(D13:CR13,$D$3:$CR$3,"З")</s:f>
        <s:v>1</s:v>
      </s:c>
      <s:c r="CT13" s="63">
        <s:f>SUMIFS(D13:CR13,$D$3:$CR$3,"О")</s:f>
        <s:v>0</s:v>
      </s:c>
      <s:c r="CU13" s="63">
        <s:f>SUMIFS(D13:CR13,$D$3:$CR$3,"У")</s:f>
        <s:v>0</s:v>
      </s:c>
      <s:c r="CV13" s="28">
        <s:f>IF(C13="Да",CS13*$D$46+CT13*$D$47+CU13*$D$48,CS13*$C$46+CT13*$C$47+CU13*$C$48)</s:f>
        <s:v>800</s:v>
      </s:c>
      <s:c r="CW13" s="29">
        <s:f>IF(C13="Нет",CV13,"")</s:f>
        <s:v>800</s:v>
      </s:c>
      <s:c r="CX13" s="30" t="str">
        <s:f>IF(C13="Да",CV13,"")</s:f>
        <s:v/>
      </s:c>
      <s:c r="CY13" s="30" t="str">
        <s:f>IF(C13="Налич",CV13,"")</s:f>
        <s:v/>
      </s:c>
      <s:c r="CZ13" s="122" t="s">
        <s:v>47</s:v>
      </s:c>
    </s:row>
    <s:row r="14" ht="21.75">
      <s:c r="A14" s="23"/>
      <s:c r="B14" s="24" t="s">
        <s:v>50</s:v>
      </s:c>
      <s:c r="C14" s="25" t="s">
        <s:v>28</s:v>
      </s:c>
      <s:c r="D14" s="49"/>
      <s:c r="E14" s="50"/>
      <s:c r="F14" s="74"/>
      <s:c r="G14" s="79"/>
      <s:c r="H14" s="26"/>
      <s:c r="I14" s="80"/>
      <s:c r="J14" s="76"/>
      <s:c r="K14" s="26"/>
      <s:c r="L14" s="27"/>
      <s:c r="M14" s="79"/>
      <s:c r="N14" s="26"/>
      <s:c r="O14" s="80"/>
      <s:c r="P14" s="76"/>
      <s:c r="Q14" s="26"/>
      <s:c r="R14" s="27"/>
      <s:c r="S14" s="79"/>
      <s:c r="T14" s="26"/>
      <s:c r="U14" s="80"/>
      <s:c r="V14" s="76"/>
      <s:c r="W14" s="26"/>
      <s:c r="X14" s="27"/>
      <s:c r="Y14" s="79"/>
      <s:c r="Z14" s="26"/>
      <s:c r="AA14" s="80"/>
      <s:c r="AB14" s="76"/>
      <s:c r="AC14" s="26"/>
      <s:c r="AD14" s="27"/>
      <s:c r="AE14" s="79"/>
      <s:c r="AF14" s="26"/>
      <s:c r="AG14" s="80"/>
      <s:c r="AH14" s="76"/>
      <s:c r="AI14" s="26"/>
      <s:c r="AJ14" s="27"/>
      <s:c r="AK14" s="79"/>
      <s:c r="AL14" s="26"/>
      <s:c r="AM14" s="80"/>
      <s:c r="AN14" s="76"/>
      <s:c r="AO14" s="26"/>
      <s:c r="AP14" s="27"/>
      <s:c r="AQ14" s="79"/>
      <s:c r="AR14" s="26"/>
      <s:c r="AS14" s="80"/>
      <s:c r="AT14" s="76"/>
      <s:c r="AU14" s="26"/>
      <s:c r="AV14" s="27">
        <s:v>2</s:v>
      </s:c>
      <s:c r="AW14" s="79"/>
      <s:c r="AX14" s="26"/>
      <s:c r="AY14" s="80"/>
      <s:c r="AZ14" s="76"/>
      <s:c r="BA14" s="26"/>
      <s:c r="BB14" s="27"/>
      <s:c r="BC14" s="79"/>
      <s:c r="BD14" s="26"/>
      <s:c r="BE14" s="80"/>
      <s:c r="BF14" s="76"/>
      <s:c r="BG14" s="26"/>
      <s:c r="BH14" s="27"/>
      <s:c r="BI14" s="79"/>
      <s:c r="BJ14" s="26"/>
      <s:c r="BK14" s="80"/>
      <s:c r="BL14" s="76"/>
      <s:c r="BM14" s="26"/>
      <s:c r="BN14" s="27"/>
      <s:c r="BO14" s="79"/>
      <s:c r="BP14" s="26"/>
      <s:c r="BQ14" s="80"/>
      <s:c r="BR14" s="76"/>
      <s:c r="BS14" s="26"/>
      <s:c r="BT14" s="27"/>
      <s:c r="BU14" s="79"/>
      <s:c r="BV14" s="26"/>
      <s:c r="BW14" s="80"/>
      <s:c r="BX14" s="76"/>
      <s:c r="BY14" s="26"/>
      <s:c r="BZ14" s="27"/>
      <s:c r="CA14" s="79"/>
      <s:c r="CB14" s="26"/>
      <s:c r="CC14" s="80"/>
      <s:c r="CD14" s="76"/>
      <s:c r="CE14" s="26"/>
      <s:c r="CF14" s="27"/>
      <s:c r="CG14" s="79"/>
      <s:c r="CH14" s="26"/>
      <s:c r="CI14" s="80"/>
      <s:c r="CJ14" s="76"/>
      <s:c r="CK14" s="26"/>
      <s:c r="CL14" s="27"/>
      <s:c r="CM14" s="79"/>
      <s:c r="CN14" s="26"/>
      <s:c r="CO14" s="80"/>
      <s:c r="CP14" s="76"/>
      <s:c r="CQ14" s="26"/>
      <s:c r="CR14" s="27"/>
      <s:c r="CS14" s="62">
        <s:f>SUMIFS(D14:CR14,$D$3:$CR$3,"З")</s:f>
        <s:v>0</s:v>
      </s:c>
      <s:c r="CT14" s="63">
        <s:f>SUMIFS(D14:CR14,$D$3:$CR$3,"О")</s:f>
        <s:v>0</s:v>
      </s:c>
      <s:c r="CU14" s="63">
        <s:f>SUMIFS(D14:CR14,$D$3:$CR$3,"У")</s:f>
        <s:v>2</s:v>
      </s:c>
      <s:c r="CV14" s="28">
        <s:f>IF(C14="Да",CS14*$D$46+CT14*$D$47+CU14*$D$48,CS14*$C$46+CT14*$C$47+CU14*$C$48)</s:f>
        <s:v>1700</s:v>
      </s:c>
      <s:c r="CW14" s="29" t="str">
        <s:f>IF(C14="Нет",CV14,"")</s:f>
        <s:v/>
      </s:c>
      <s:c r="CX14" s="30" t="str">
        <s:f>IF(C14="Да",CV14,"")</s:f>
        <s:v/>
      </s:c>
      <s:c r="CY14" s="30">
        <s:f>IF(C14="Налич",CV14,"")</s:f>
        <s:v>1700</s:v>
      </s:c>
      <s:c r="CZ14" s="122"/>
    </s:row>
    <s:row r="15" ht="21.75">
      <s:c r="A15" s="23"/>
      <s:c r="B15" s="24" t="s">
        <s:v>52</s:v>
      </s:c>
      <s:c r="C15" s="25" t="s">
        <s:v>28</s:v>
      </s:c>
      <s:c r="D15" s="49"/>
      <s:c r="E15" s="50"/>
      <s:c r="F15" s="74"/>
      <s:c r="G15" s="79"/>
      <s:c r="H15" s="26"/>
      <s:c r="I15" s="80"/>
      <s:c r="J15" s="76"/>
      <s:c r="K15" s="26"/>
      <s:c r="L15" s="27"/>
      <s:c r="M15" s="79"/>
      <s:c r="N15" s="26"/>
      <s:c r="O15" s="80"/>
      <s:c r="P15" s="76"/>
      <s:c r="Q15" s="26"/>
      <s:c r="R15" s="27"/>
      <s:c r="S15" s="79"/>
      <s:c r="T15" s="26"/>
      <s:c r="U15" s="80"/>
      <s:c r="V15" s="76"/>
      <s:c r="W15" s="26"/>
      <s:c r="X15" s="27"/>
      <s:c r="Y15" s="79"/>
      <s:c r="Z15" s="26"/>
      <s:c r="AA15" s="80"/>
      <s:c r="AB15" s="76"/>
      <s:c r="AC15" s="26"/>
      <s:c r="AD15" s="27"/>
      <s:c r="AE15" s="79"/>
      <s:c r="AF15" s="26"/>
      <s:c r="AG15" s="80"/>
      <s:c r="AH15" s="76"/>
      <s:c r="AI15" s="26"/>
      <s:c r="AJ15" s="27"/>
      <s:c r="AK15" s="79"/>
      <s:c r="AL15" s="26"/>
      <s:c r="AM15" s="80"/>
      <s:c r="AN15" s="76"/>
      <s:c r="AO15" s="26"/>
      <s:c r="AP15" s="27"/>
      <s:c r="AQ15" s="79"/>
      <s:c r="AR15" s="26"/>
      <s:c r="AS15" s="80"/>
      <s:c r="AT15" s="76"/>
      <s:c r="AU15" s="26"/>
      <s:c r="AV15" s="27"/>
      <s:c r="AW15" s="79"/>
      <s:c r="AX15" s="26"/>
      <s:c r="AY15" s="80"/>
      <s:c r="AZ15" s="76"/>
      <s:c r="BA15" s="26"/>
      <s:c r="BB15" s="27"/>
      <s:c r="BC15" s="79"/>
      <s:c r="BD15" s="26"/>
      <s:c r="BE15" s="80"/>
      <s:c r="BF15" s="76"/>
      <s:c r="BG15" s="26"/>
      <s:c r="BH15" s="27"/>
      <s:c r="BI15" s="79"/>
      <s:c r="BJ15" s="26"/>
      <s:c r="BK15" s="80"/>
      <s:c r="BL15" s="76"/>
      <s:c r="BM15" s="26"/>
      <s:c r="BN15" s="27"/>
      <s:c r="BO15" s="79"/>
      <s:c r="BP15" s="26"/>
      <s:c r="BQ15" s="80"/>
      <s:c r="BR15" s="76"/>
      <s:c r="BS15" s="26"/>
      <s:c r="BT15" s="27"/>
      <s:c r="BU15" s="79"/>
      <s:c r="BV15" s="26">
        <s:v>2</s:v>
      </s:c>
      <s:c r="BW15" s="80"/>
      <s:c r="BX15" s="76"/>
      <s:c r="BY15" s="26"/>
      <s:c r="BZ15" s="27"/>
      <s:c r="CA15" s="79"/>
      <s:c r="CB15" s="26"/>
      <s:c r="CC15" s="80"/>
      <s:c r="CD15" s="76"/>
      <s:c r="CE15" s="26"/>
      <s:c r="CF15" s="27"/>
      <s:c r="CG15" s="79"/>
      <s:c r="CH15" s="26"/>
      <s:c r="CI15" s="80"/>
      <s:c r="CJ15" s="76"/>
      <s:c r="CK15" s="26"/>
      <s:c r="CL15" s="27"/>
      <s:c r="CM15" s="79"/>
      <s:c r="CN15" s="26"/>
      <s:c r="CO15" s="80"/>
      <s:c r="CP15" s="76"/>
      <s:c r="CQ15" s="26"/>
      <s:c r="CR15" s="27"/>
      <s:c r="CS15" s="62">
        <s:f>SUMIFS(D15:CR15,$D$3:$CR$3,"З")</s:f>
        <s:v>0</s:v>
      </s:c>
      <s:c r="CT15" s="63">
        <s:f>SUMIFS(D15:CR15,$D$3:$CR$3,"О")</s:f>
        <s:v>2</s:v>
      </s:c>
      <s:c r="CU15" s="63">
        <s:f>SUMIFS(D15:CR15,$D$3:$CR$3,"У")</s:f>
        <s:v>0</s:v>
      </s:c>
      <s:c r="CV15" s="28">
        <s:f>IF(C15="Да",CS15*$D$46+CT15*$D$47+CU15*$D$48,CS15*$C$46+CT15*$C$47+CU15*$C$48)</s:f>
        <s:v>2000</s:v>
      </s:c>
      <s:c r="CW15" s="29" t="str">
        <s:f>IF(C15="Нет",CV15,"")</s:f>
        <s:v/>
      </s:c>
      <s:c r="CX15" s="30" t="str">
        <s:f>IF(C15="Да",CV15,"")</s:f>
        <s:v/>
      </s:c>
      <s:c r="CY15" s="30">
        <s:f>IF(C15="Налич",CV15,"")</s:f>
        <s:v>2000</s:v>
      </s:c>
      <s:c r="CZ15" s="122" t="s">
        <s:v>51</s:v>
      </s:c>
    </s:row>
    <s:row r="16" ht="21.75">
      <s:c r="A16" s="23"/>
      <s:c r="B16" s="24"/>
      <s:c r="C16" s="25"/>
      <s:c r="D16" s="49"/>
      <s:c r="E16" s="50"/>
      <s:c r="F16" s="74"/>
      <s:c r="G16" s="79"/>
      <s:c r="H16" s="26"/>
      <s:c r="I16" s="80"/>
      <s:c r="J16" s="76"/>
      <s:c r="K16" s="26"/>
      <s:c r="L16" s="27"/>
      <s:c r="M16" s="79"/>
      <s:c r="N16" s="26"/>
      <s:c r="O16" s="80"/>
      <s:c r="P16" s="76"/>
      <s:c r="Q16" s="26"/>
      <s:c r="R16" s="27"/>
      <s:c r="S16" s="79"/>
      <s:c r="T16" s="26"/>
      <s:c r="U16" s="80"/>
      <s:c r="V16" s="76"/>
      <s:c r="W16" s="26"/>
      <s:c r="X16" s="27"/>
      <s:c r="Y16" s="79"/>
      <s:c r="Z16" s="26"/>
      <s:c r="AA16" s="80"/>
      <s:c r="AB16" s="76"/>
      <s:c r="AC16" s="26"/>
      <s:c r="AD16" s="27"/>
      <s:c r="AE16" s="79"/>
      <s:c r="AF16" s="26"/>
      <s:c r="AG16" s="80"/>
      <s:c r="AH16" s="76"/>
      <s:c r="AI16" s="26"/>
      <s:c r="AJ16" s="27"/>
      <s:c r="AK16" s="79"/>
      <s:c r="AL16" s="26"/>
      <s:c r="AM16" s="80"/>
      <s:c r="AN16" s="76"/>
      <s:c r="AO16" s="26"/>
      <s:c r="AP16" s="27"/>
      <s:c r="AQ16" s="79"/>
      <s:c r="AR16" s="26"/>
      <s:c r="AS16" s="80"/>
      <s:c r="AT16" s="76"/>
      <s:c r="AU16" s="26"/>
      <s:c r="AV16" s="27"/>
      <s:c r="AW16" s="79"/>
      <s:c r="AX16" s="26"/>
      <s:c r="AY16" s="80"/>
      <s:c r="AZ16" s="76"/>
      <s:c r="BA16" s="26"/>
      <s:c r="BB16" s="27"/>
      <s:c r="BC16" s="79"/>
      <s:c r="BD16" s="26"/>
      <s:c r="BE16" s="80"/>
      <s:c r="BF16" s="76"/>
      <s:c r="BG16" s="26"/>
      <s:c r="BH16" s="27"/>
      <s:c r="BI16" s="79"/>
      <s:c r="BJ16" s="26"/>
      <s:c r="BK16" s="80"/>
      <s:c r="BL16" s="76"/>
      <s:c r="BM16" s="26"/>
      <s:c r="BN16" s="27"/>
      <s:c r="BO16" s="79"/>
      <s:c r="BP16" s="26"/>
      <s:c r="BQ16" s="80"/>
      <s:c r="BR16" s="76"/>
      <s:c r="BS16" s="26"/>
      <s:c r="BT16" s="27"/>
      <s:c r="BU16" s="79"/>
      <s:c r="BV16" s="26"/>
      <s:c r="BW16" s="80"/>
      <s:c r="BX16" s="76"/>
      <s:c r="BY16" s="26"/>
      <s:c r="BZ16" s="27"/>
      <s:c r="CA16" s="79"/>
      <s:c r="CB16" s="26"/>
      <s:c r="CC16" s="80"/>
      <s:c r="CD16" s="76"/>
      <s:c r="CE16" s="26"/>
      <s:c r="CF16" s="27"/>
      <s:c r="CG16" s="79"/>
      <s:c r="CH16" s="26"/>
      <s:c r="CI16" s="80"/>
      <s:c r="CJ16" s="76"/>
      <s:c r="CK16" s="26"/>
      <s:c r="CL16" s="27"/>
      <s:c r="CM16" s="79"/>
      <s:c r="CN16" s="26"/>
      <s:c r="CO16" s="80"/>
      <s:c r="CP16" s="76"/>
      <s:c r="CQ16" s="26"/>
      <s:c r="CR16" s="27"/>
      <s:c r="CS16" s="62">
        <s:f>SUMIFS(D16:CR16,$D$3:$CR$3,"З")</s:f>
        <s:v>0</s:v>
      </s:c>
      <s:c r="CT16" s="63">
        <s:f>SUMIFS(D16:CR16,$D$3:$CR$3,"О")</s:f>
        <s:v>0</s:v>
      </s:c>
      <s:c r="CU16" s="63">
        <s:f>SUMIFS(D16:CR16,$D$3:$CR$3,"У")</s:f>
        <s:v>0</s:v>
      </s:c>
      <s:c r="CV16" s="28">
        <s:f>IF(C16="Да",CS16*$D$46+CT16*$D$47+CU16*$D$48,CS16*$C$46+CT16*$C$47+CU16*$C$48)</s:f>
        <s:v>0</s:v>
      </s:c>
      <s:c r="CW16" s="29" t="str">
        <s:f>IF(C16="Нет",CV16,"")</s:f>
        <s:v/>
      </s:c>
      <s:c r="CX16" s="30" t="str">
        <s:f>IF(C16="Да",CV16,"")</s:f>
        <s:v/>
      </s:c>
      <s:c r="CY16" s="30" t="str">
        <s:f>IF(C16="Налич",CV16,"")</s:f>
        <s:v/>
      </s:c>
      <s:c r="CZ16" s="122"/>
    </s:row>
    <s:row r="17" ht="21.75">
      <s:c r="A17" s="23"/>
      <s:c r="B17" s="24"/>
      <s:c r="C17" s="25"/>
      <s:c r="D17" s="49"/>
      <s:c r="E17" s="50"/>
      <s:c r="F17" s="74"/>
      <s:c r="G17" s="79"/>
      <s:c r="H17" s="26"/>
      <s:c r="I17" s="80"/>
      <s:c r="J17" s="76"/>
      <s:c r="K17" s="26"/>
      <s:c r="L17" s="27"/>
      <s:c r="M17" s="79"/>
      <s:c r="N17" s="26"/>
      <s:c r="O17" s="80"/>
      <s:c r="P17" s="76"/>
      <s:c r="Q17" s="26"/>
      <s:c r="R17" s="27"/>
      <s:c r="S17" s="79"/>
      <s:c r="T17" s="26"/>
      <s:c r="U17" s="80"/>
      <s:c r="V17" s="76"/>
      <s:c r="W17" s="26"/>
      <s:c r="X17" s="27"/>
      <s:c r="Y17" s="79"/>
      <s:c r="Z17" s="26"/>
      <s:c r="AA17" s="80"/>
      <s:c r="AB17" s="76"/>
      <s:c r="AC17" s="26"/>
      <s:c r="AD17" s="27"/>
      <s:c r="AE17" s="79"/>
      <s:c r="AF17" s="26"/>
      <s:c r="AG17" s="80"/>
      <s:c r="AH17" s="76"/>
      <s:c r="AI17" s="26"/>
      <s:c r="AJ17" s="27"/>
      <s:c r="AK17" s="79"/>
      <s:c r="AL17" s="26"/>
      <s:c r="AM17" s="80"/>
      <s:c r="AN17" s="76"/>
      <s:c r="AO17" s="26"/>
      <s:c r="AP17" s="27"/>
      <s:c r="AQ17" s="79"/>
      <s:c r="AR17" s="26"/>
      <s:c r="AS17" s="80"/>
      <s:c r="AT17" s="76"/>
      <s:c r="AU17" s="26"/>
      <s:c r="AV17" s="27"/>
      <s:c r="AW17" s="79"/>
      <s:c r="AX17" s="26"/>
      <s:c r="AY17" s="80"/>
      <s:c r="AZ17" s="76"/>
      <s:c r="BA17" s="26"/>
      <s:c r="BB17" s="27"/>
      <s:c r="BC17" s="79"/>
      <s:c r="BD17" s="26"/>
      <s:c r="BE17" s="80"/>
      <s:c r="BF17" s="76"/>
      <s:c r="BG17" s="26"/>
      <s:c r="BH17" s="27"/>
      <s:c r="BI17" s="79"/>
      <s:c r="BJ17" s="26"/>
      <s:c r="BK17" s="80"/>
      <s:c r="BL17" s="76"/>
      <s:c r="BM17" s="26"/>
      <s:c r="BN17" s="27"/>
      <s:c r="BO17" s="79"/>
      <s:c r="BP17" s="26"/>
      <s:c r="BQ17" s="80"/>
      <s:c r="BR17" s="76"/>
      <s:c r="BS17" s="26"/>
      <s:c r="BT17" s="27"/>
      <s:c r="BU17" s="79"/>
      <s:c r="BV17" s="26"/>
      <s:c r="BW17" s="80"/>
      <s:c r="BX17" s="76"/>
      <s:c r="BY17" s="26"/>
      <s:c r="BZ17" s="27"/>
      <s:c r="CA17" s="79"/>
      <s:c r="CB17" s="26"/>
      <s:c r="CC17" s="80"/>
      <s:c r="CD17" s="76"/>
      <s:c r="CE17" s="26"/>
      <s:c r="CF17" s="27"/>
      <s:c r="CG17" s="79"/>
      <s:c r="CH17" s="26"/>
      <s:c r="CI17" s="80"/>
      <s:c r="CJ17" s="76"/>
      <s:c r="CK17" s="26"/>
      <s:c r="CL17" s="27"/>
      <s:c r="CM17" s="79"/>
      <s:c r="CN17" s="26"/>
      <s:c r="CO17" s="80"/>
      <s:c r="CP17" s="76"/>
      <s:c r="CQ17" s="26"/>
      <s:c r="CR17" s="27"/>
      <s:c r="CS17" s="62">
        <s:f>SUMIFS(D17:CR17,$D$3:$CR$3,"З")</s:f>
        <s:v>0</s:v>
      </s:c>
      <s:c r="CT17" s="63">
        <s:f>SUMIFS(D17:CR17,$D$3:$CR$3,"О")</s:f>
        <s:v>0</s:v>
      </s:c>
      <s:c r="CU17" s="63">
        <s:f>SUMIFS(D17:CR17,$D$3:$CR$3,"У")</s:f>
        <s:v>0</s:v>
      </s:c>
      <s:c r="CV17" s="28">
        <s:f>IF(C17="Да",CS17*$D$46+CT17*$D$47+CU17*$D$48,CS17*$C$46+CT17*$C$47+CU17*$C$48)</s:f>
        <s:v>0</s:v>
      </s:c>
      <s:c r="CW17" s="29" t="str">
        <s:f>IF(C17="Нет",CV17,"")</s:f>
        <s:v/>
      </s:c>
      <s:c r="CX17" s="30" t="str">
        <s:f>IF(C17="Да",CV17,"")</s:f>
        <s:v/>
      </s:c>
      <s:c r="CY17" s="30" t="str">
        <s:f>IF(C17="Налич",CV17,"")</s:f>
        <s:v/>
      </s:c>
      <s:c r="CZ17" s="122"/>
    </s:row>
    <s:row r="18" ht="21.75">
      <s:c r="A18" s="23"/>
      <s:c r="B18" s="24"/>
      <s:c r="C18" s="25"/>
      <s:c r="D18" s="49"/>
      <s:c r="E18" s="50"/>
      <s:c r="F18" s="74"/>
      <s:c r="G18" s="79"/>
      <s:c r="H18" s="26"/>
      <s:c r="I18" s="80"/>
      <s:c r="J18" s="76"/>
      <s:c r="K18" s="26"/>
      <s:c r="L18" s="27"/>
      <s:c r="M18" s="79"/>
      <s:c r="N18" s="26"/>
      <s:c r="O18" s="80"/>
      <s:c r="P18" s="76"/>
      <s:c r="Q18" s="26"/>
      <s:c r="R18" s="27"/>
      <s:c r="S18" s="79"/>
      <s:c r="T18" s="26"/>
      <s:c r="U18" s="80"/>
      <s:c r="V18" s="76"/>
      <s:c r="W18" s="26"/>
      <s:c r="X18" s="27"/>
      <s:c r="Y18" s="79"/>
      <s:c r="Z18" s="26"/>
      <s:c r="AA18" s="80"/>
      <s:c r="AB18" s="76"/>
      <s:c r="AC18" s="26"/>
      <s:c r="AD18" s="27"/>
      <s:c r="AE18" s="79"/>
      <s:c r="AF18" s="26"/>
      <s:c r="AG18" s="80"/>
      <s:c r="AH18" s="76"/>
      <s:c r="AI18" s="26"/>
      <s:c r="AJ18" s="27"/>
      <s:c r="AK18" s="79"/>
      <s:c r="AL18" s="26"/>
      <s:c r="AM18" s="80"/>
      <s:c r="AN18" s="76"/>
      <s:c r="AO18" s="26"/>
      <s:c r="AP18" s="27"/>
      <s:c r="AQ18" s="79"/>
      <s:c r="AR18" s="26"/>
      <s:c r="AS18" s="80"/>
      <s:c r="AT18" s="76"/>
      <s:c r="AU18" s="26"/>
      <s:c r="AV18" s="27"/>
      <s:c r="AW18" s="79"/>
      <s:c r="AX18" s="26"/>
      <s:c r="AY18" s="80"/>
      <s:c r="AZ18" s="76"/>
      <s:c r="BA18" s="26"/>
      <s:c r="BB18" s="27"/>
      <s:c r="BC18" s="79"/>
      <s:c r="BD18" s="26"/>
      <s:c r="BE18" s="80"/>
      <s:c r="BF18" s="76"/>
      <s:c r="BG18" s="26"/>
      <s:c r="BH18" s="27"/>
      <s:c r="BI18" s="79"/>
      <s:c r="BJ18" s="26"/>
      <s:c r="BK18" s="80"/>
      <s:c r="BL18" s="76"/>
      <s:c r="BM18" s="26"/>
      <s:c r="BN18" s="27"/>
      <s:c r="BO18" s="79"/>
      <s:c r="BP18" s="26"/>
      <s:c r="BQ18" s="80"/>
      <s:c r="BR18" s="76"/>
      <s:c r="BS18" s="26"/>
      <s:c r="BT18" s="27"/>
      <s:c r="BU18" s="79"/>
      <s:c r="BV18" s="26"/>
      <s:c r="BW18" s="80"/>
      <s:c r="BX18" s="76"/>
      <s:c r="BY18" s="26"/>
      <s:c r="BZ18" s="27"/>
      <s:c r="CA18" s="79"/>
      <s:c r="CB18" s="26"/>
      <s:c r="CC18" s="80"/>
      <s:c r="CD18" s="76"/>
      <s:c r="CE18" s="26"/>
      <s:c r="CF18" s="27"/>
      <s:c r="CG18" s="79"/>
      <s:c r="CH18" s="26"/>
      <s:c r="CI18" s="80"/>
      <s:c r="CJ18" s="76"/>
      <s:c r="CK18" s="26"/>
      <s:c r="CL18" s="27"/>
      <s:c r="CM18" s="79"/>
      <s:c r="CN18" s="26"/>
      <s:c r="CO18" s="80"/>
      <s:c r="CP18" s="76"/>
      <s:c r="CQ18" s="26"/>
      <s:c r="CR18" s="27"/>
      <s:c r="CS18" s="62">
        <s:f>SUMIFS(D18:CR18,$D$3:$CR$3,"З")</s:f>
        <s:v>0</s:v>
      </s:c>
      <s:c r="CT18" s="63">
        <s:f>SUMIFS(D18:CR18,$D$3:$CR$3,"О")</s:f>
        <s:v>0</s:v>
      </s:c>
      <s:c r="CU18" s="63">
        <s:f>SUMIFS(D18:CR18,$D$3:$CR$3,"У")</s:f>
        <s:v>0</s:v>
      </s:c>
      <s:c r="CV18" s="28">
        <s:f>IF(C18="Да",CS18*$D$46+CT18*$D$47+CU18*$D$48,CS18*$C$46+CT18*$C$47+CU18*$C$48)</s:f>
        <s:v>0</s:v>
      </s:c>
      <s:c r="CW18" s="29" t="str">
        <s:f>IF(C18="Нет",CV18,"")</s:f>
        <s:v/>
      </s:c>
      <s:c r="CX18" s="30" t="str">
        <s:f>IF(C18="Да",CV18,"")</s:f>
        <s:v/>
      </s:c>
      <s:c r="CY18" s="30" t="str">
        <s:f>IF(C18="Налич",CV18,"")</s:f>
        <s:v/>
      </s:c>
    </s:row>
    <s:row r="19" ht="21.75">
      <s:c r="A19" s="23"/>
      <s:c r="B19" s="24"/>
      <s:c r="C19" s="25"/>
      <s:c r="D19" s="49"/>
      <s:c r="E19" s="50"/>
      <s:c r="F19" s="74"/>
      <s:c r="G19" s="79"/>
      <s:c r="H19" s="26"/>
      <s:c r="I19" s="80"/>
      <s:c r="J19" s="76"/>
      <s:c r="K19" s="26"/>
      <s:c r="L19" s="27"/>
      <s:c r="M19" s="79"/>
      <s:c r="N19" s="26"/>
      <s:c r="O19" s="80"/>
      <s:c r="P19" s="76"/>
      <s:c r="Q19" s="26"/>
      <s:c r="R19" s="27"/>
      <s:c r="S19" s="79"/>
      <s:c r="T19" s="26"/>
      <s:c r="U19" s="80"/>
      <s:c r="V19" s="76"/>
      <s:c r="W19" s="26"/>
      <s:c r="X19" s="27"/>
      <s:c r="Y19" s="79"/>
      <s:c r="Z19" s="26"/>
      <s:c r="AA19" s="80"/>
      <s:c r="AB19" s="76"/>
      <s:c r="AC19" s="26"/>
      <s:c r="AD19" s="27"/>
      <s:c r="AE19" s="79"/>
      <s:c r="AF19" s="26"/>
      <s:c r="AG19" s="80"/>
      <s:c r="AH19" s="76"/>
      <s:c r="AI19" s="26"/>
      <s:c r="AJ19" s="27"/>
      <s:c r="AK19" s="79"/>
      <s:c r="AL19" s="26"/>
      <s:c r="AM19" s="80"/>
      <s:c r="AN19" s="76"/>
      <s:c r="AO19" s="26"/>
      <s:c r="AP19" s="27"/>
      <s:c r="AQ19" s="79"/>
      <s:c r="AR19" s="26"/>
      <s:c r="AS19" s="80"/>
      <s:c r="AT19" s="76"/>
      <s:c r="AU19" s="26"/>
      <s:c r="AV19" s="27"/>
      <s:c r="AW19" s="79"/>
      <s:c r="AX19" s="26"/>
      <s:c r="AY19" s="80"/>
      <s:c r="AZ19" s="76"/>
      <s:c r="BA19" s="26"/>
      <s:c r="BB19" s="27"/>
      <s:c r="BC19" s="79"/>
      <s:c r="BD19" s="26"/>
      <s:c r="BE19" s="80"/>
      <s:c r="BF19" s="76"/>
      <s:c r="BG19" s="26"/>
      <s:c r="BH19" s="27"/>
      <s:c r="BI19" s="79"/>
      <s:c r="BJ19" s="26"/>
      <s:c r="BK19" s="80"/>
      <s:c r="BL19" s="76"/>
      <s:c r="BM19" s="26"/>
      <s:c r="BN19" s="27"/>
      <s:c r="BO19" s="79"/>
      <s:c r="BP19" s="26"/>
      <s:c r="BQ19" s="80"/>
      <s:c r="BR19" s="76"/>
      <s:c r="BS19" s="26"/>
      <s:c r="BT19" s="27"/>
      <s:c r="BU19" s="79"/>
      <s:c r="BV19" s="26"/>
      <s:c r="BW19" s="80"/>
      <s:c r="BX19" s="76"/>
      <s:c r="BY19" s="26"/>
      <s:c r="BZ19" s="27"/>
      <s:c r="CA19" s="79"/>
      <s:c r="CB19" s="26"/>
      <s:c r="CC19" s="80"/>
      <s:c r="CD19" s="76"/>
      <s:c r="CE19" s="26"/>
      <s:c r="CF19" s="27"/>
      <s:c r="CG19" s="79"/>
      <s:c r="CH19" s="26"/>
      <s:c r="CI19" s="80"/>
      <s:c r="CJ19" s="76"/>
      <s:c r="CK19" s="26"/>
      <s:c r="CL19" s="27"/>
      <s:c r="CM19" s="79"/>
      <s:c r="CN19" s="26"/>
      <s:c r="CO19" s="80"/>
      <s:c r="CP19" s="76"/>
      <s:c r="CQ19" s="26"/>
      <s:c r="CR19" s="27"/>
      <s:c r="CS19" s="62">
        <s:f>SUMIFS(D19:CR19,$D$3:$CR$3,"З")</s:f>
        <s:v>0</s:v>
      </s:c>
      <s:c r="CT19" s="63">
        <s:f>SUMIFS(D19:CR19,$D$3:$CR$3,"О")</s:f>
        <s:v>0</s:v>
      </s:c>
      <s:c r="CU19" s="63">
        <s:f>SUMIFS(D19:CR19,$D$3:$CR$3,"У")</s:f>
        <s:v>0</s:v>
      </s:c>
      <s:c r="CV19" s="28">
        <s:f>IF(C19="Да",CS19*$D$46+CT19*$D$47+CU19*$D$48,CS19*$C$46+CT19*$C$47+CU19*$C$48)</s:f>
        <s:v>0</s:v>
      </s:c>
      <s:c r="CW19" s="29" t="str">
        <s:f>IF(C19="Нет",CV19,"")</s:f>
        <s:v/>
      </s:c>
      <s:c r="CX19" s="30" t="str">
        <s:f>IF(C19="Да",CV19,"")</s:f>
        <s:v/>
      </s:c>
      <s:c r="CY19" s="30" t="str">
        <s:f>IF(C19="Налич",CV19,"")</s:f>
        <s:v/>
      </s:c>
    </s:row>
    <s:row r="20" ht="21.75">
      <s:c r="A20" s="23"/>
      <s:c r="B20" s="24"/>
      <s:c r="C20" s="25"/>
      <s:c r="D20" s="49"/>
      <s:c r="E20" s="50"/>
      <s:c r="F20" s="74"/>
      <s:c r="G20" s="79"/>
      <s:c r="H20" s="26"/>
      <s:c r="I20" s="80"/>
      <s:c r="J20" s="76"/>
      <s:c r="K20" s="26"/>
      <s:c r="L20" s="27"/>
      <s:c r="M20" s="79"/>
      <s:c r="N20" s="26"/>
      <s:c r="O20" s="80"/>
      <s:c r="P20" s="76"/>
      <s:c r="Q20" s="26"/>
      <s:c r="R20" s="27"/>
      <s:c r="S20" s="79"/>
      <s:c r="T20" s="26"/>
      <s:c r="U20" s="80"/>
      <s:c r="V20" s="76"/>
      <s:c r="W20" s="26"/>
      <s:c r="X20" s="27"/>
      <s:c r="Y20" s="79"/>
      <s:c r="Z20" s="26"/>
      <s:c r="AA20" s="80"/>
      <s:c r="AB20" s="76"/>
      <s:c r="AC20" s="26"/>
      <s:c r="AD20" s="27"/>
      <s:c r="AE20" s="79"/>
      <s:c r="AF20" s="26"/>
      <s:c r="AG20" s="80"/>
      <s:c r="AH20" s="76"/>
      <s:c r="AI20" s="26"/>
      <s:c r="AJ20" s="27"/>
      <s:c r="AK20" s="79"/>
      <s:c r="AL20" s="26"/>
      <s:c r="AM20" s="80"/>
      <s:c r="AN20" s="76"/>
      <s:c r="AO20" s="26"/>
      <s:c r="AP20" s="27"/>
      <s:c r="AQ20" s="79"/>
      <s:c r="AR20" s="26"/>
      <s:c r="AS20" s="80"/>
      <s:c r="AT20" s="76"/>
      <s:c r="AU20" s="26"/>
      <s:c r="AV20" s="27"/>
      <s:c r="AW20" s="79"/>
      <s:c r="AX20" s="26"/>
      <s:c r="AY20" s="80"/>
      <s:c r="AZ20" s="76"/>
      <s:c r="BA20" s="26"/>
      <s:c r="BB20" s="27"/>
      <s:c r="BC20" s="79"/>
      <s:c r="BD20" s="26"/>
      <s:c r="BE20" s="80"/>
      <s:c r="BF20" s="76"/>
      <s:c r="BG20" s="26"/>
      <s:c r="BH20" s="27"/>
      <s:c r="BI20" s="79"/>
      <s:c r="BJ20" s="26"/>
      <s:c r="BK20" s="80"/>
      <s:c r="BL20" s="76"/>
      <s:c r="BM20" s="26"/>
      <s:c r="BN20" s="27"/>
      <s:c r="BO20" s="79"/>
      <s:c r="BP20" s="26"/>
      <s:c r="BQ20" s="80"/>
      <s:c r="BR20" s="76"/>
      <s:c r="BS20" s="26"/>
      <s:c r="BT20" s="27"/>
      <s:c r="BU20" s="79"/>
      <s:c r="BV20" s="26"/>
      <s:c r="BW20" s="80"/>
      <s:c r="BX20" s="76"/>
      <s:c r="BY20" s="26"/>
      <s:c r="BZ20" s="27"/>
      <s:c r="CA20" s="79"/>
      <s:c r="CB20" s="26"/>
      <s:c r="CC20" s="80"/>
      <s:c r="CD20" s="76"/>
      <s:c r="CE20" s="26"/>
      <s:c r="CF20" s="27"/>
      <s:c r="CG20" s="79"/>
      <s:c r="CH20" s="26"/>
      <s:c r="CI20" s="80"/>
      <s:c r="CJ20" s="76"/>
      <s:c r="CK20" s="26"/>
      <s:c r="CL20" s="27"/>
      <s:c r="CM20" s="79"/>
      <s:c r="CN20" s="26"/>
      <s:c r="CO20" s="80"/>
      <s:c r="CP20" s="76"/>
      <s:c r="CQ20" s="26"/>
      <s:c r="CR20" s="27"/>
      <s:c r="CS20" s="62">
        <s:f>SUMIFS(D20:CR20,$D$3:$CR$3,"З")</s:f>
        <s:v>0</s:v>
      </s:c>
      <s:c r="CT20" s="63">
        <s:f>SUMIFS(D20:CR20,$D$3:$CR$3,"О")</s:f>
        <s:v>0</s:v>
      </s:c>
      <s:c r="CU20" s="63">
        <s:f>SUMIFS(D20:CR20,$D$3:$CR$3,"У")</s:f>
        <s:v>0</s:v>
      </s:c>
      <s:c r="CV20" s="28">
        <s:f>IF(C20="Да",CS20*$D$46+CT20*$D$47+CU20*$D$48,CS20*$C$46+CT20*$C$47+CU20*$C$48)</s:f>
        <s:v>0</s:v>
      </s:c>
      <s:c r="CW20" s="29" t="str">
        <s:f>IF(C20="Нет",CV20,"")</s:f>
        <s:v/>
      </s:c>
      <s:c r="CX20" s="30" t="str">
        <s:f>IF(C20="Да",CV20,"")</s:f>
        <s:v/>
      </s:c>
      <s:c r="CY20" s="30" t="str">
        <s:f>IF(C20="Налич",CV20,"")</s:f>
        <s:v/>
      </s:c>
    </s:row>
    <s:row r="21" ht="21.75">
      <s:c r="A21" s="23"/>
      <s:c r="B21" s="24"/>
      <s:c r="C21" s="25"/>
      <s:c r="D21" s="49"/>
      <s:c r="E21" s="50"/>
      <s:c r="F21" s="74"/>
      <s:c r="G21" s="79"/>
      <s:c r="H21" s="26"/>
      <s:c r="I21" s="80"/>
      <s:c r="J21" s="76"/>
      <s:c r="K21" s="26"/>
      <s:c r="L21" s="27"/>
      <s:c r="M21" s="79"/>
      <s:c r="N21" s="26"/>
      <s:c r="O21" s="80"/>
      <s:c r="P21" s="76"/>
      <s:c r="Q21" s="26"/>
      <s:c r="R21" s="27"/>
      <s:c r="S21" s="79"/>
      <s:c r="T21" s="26"/>
      <s:c r="U21" s="80"/>
      <s:c r="V21" s="76"/>
      <s:c r="W21" s="26"/>
      <s:c r="X21" s="27"/>
      <s:c r="Y21" s="79"/>
      <s:c r="Z21" s="26"/>
      <s:c r="AA21" s="80"/>
      <s:c r="AB21" s="76"/>
      <s:c r="AC21" s="26"/>
      <s:c r="AD21" s="27"/>
      <s:c r="AE21" s="79"/>
      <s:c r="AF21" s="26"/>
      <s:c r="AG21" s="80"/>
      <s:c r="AH21" s="76"/>
      <s:c r="AI21" s="26"/>
      <s:c r="AJ21" s="27"/>
      <s:c r="AK21" s="79"/>
      <s:c r="AL21" s="26"/>
      <s:c r="AM21" s="80"/>
      <s:c r="AN21" s="76"/>
      <s:c r="AO21" s="26"/>
      <s:c r="AP21" s="27"/>
      <s:c r="AQ21" s="79"/>
      <s:c r="AR21" s="26"/>
      <s:c r="AS21" s="80"/>
      <s:c r="AT21" s="76"/>
      <s:c r="AU21" s="26"/>
      <s:c r="AV21" s="27"/>
      <s:c r="AW21" s="79"/>
      <s:c r="AX21" s="26"/>
      <s:c r="AY21" s="80"/>
      <s:c r="AZ21" s="76"/>
      <s:c r="BA21" s="26"/>
      <s:c r="BB21" s="27"/>
      <s:c r="BC21" s="79"/>
      <s:c r="BD21" s="26"/>
      <s:c r="BE21" s="80"/>
      <s:c r="BF21" s="76"/>
      <s:c r="BG21" s="26"/>
      <s:c r="BH21" s="27"/>
      <s:c r="BI21" s="79"/>
      <s:c r="BJ21" s="26"/>
      <s:c r="BK21" s="80"/>
      <s:c r="BL21" s="76"/>
      <s:c r="BM21" s="26"/>
      <s:c r="BN21" s="27"/>
      <s:c r="BO21" s="79"/>
      <s:c r="BP21" s="26"/>
      <s:c r="BQ21" s="80"/>
      <s:c r="BR21" s="76"/>
      <s:c r="BS21" s="26"/>
      <s:c r="BT21" s="27"/>
      <s:c r="BU21" s="79"/>
      <s:c r="BV21" s="26"/>
      <s:c r="BW21" s="80"/>
      <s:c r="BX21" s="76"/>
      <s:c r="BY21" s="26"/>
      <s:c r="BZ21" s="27"/>
      <s:c r="CA21" s="79"/>
      <s:c r="CB21" s="26"/>
      <s:c r="CC21" s="80"/>
      <s:c r="CD21" s="76"/>
      <s:c r="CE21" s="26"/>
      <s:c r="CF21" s="27"/>
      <s:c r="CG21" s="79"/>
      <s:c r="CH21" s="26"/>
      <s:c r="CI21" s="80"/>
      <s:c r="CJ21" s="76"/>
      <s:c r="CK21" s="26"/>
      <s:c r="CL21" s="27"/>
      <s:c r="CM21" s="79"/>
      <s:c r="CN21" s="26"/>
      <s:c r="CO21" s="80"/>
      <s:c r="CP21" s="76"/>
      <s:c r="CQ21" s="26"/>
      <s:c r="CR21" s="27"/>
      <s:c r="CS21" s="62">
        <s:f>SUMIFS(D21:CR21,$D$3:$CR$3,"З")</s:f>
        <s:v>0</s:v>
      </s:c>
      <s:c r="CT21" s="63">
        <s:f>SUMIFS(D21:CR21,$D$3:$CR$3,"О")</s:f>
        <s:v>0</s:v>
      </s:c>
      <s:c r="CU21" s="63">
        <s:f>SUMIFS(D21:CR21,$D$3:$CR$3,"У")</s:f>
        <s:v>0</s:v>
      </s:c>
      <s:c r="CV21" s="28">
        <s:f>IF(C21="Да",CS21*$D$46+CT21*$D$47+CU21*$D$48,CS21*$C$46+CT21*$C$47+CU21*$C$48)</s:f>
        <s:v>0</s:v>
      </s:c>
      <s:c r="CW21" s="29" t="str">
        <s:f>IF(C21="Нет",CV21,"")</s:f>
        <s:v/>
      </s:c>
      <s:c r="CX21" s="30" t="str">
        <s:f>IF(C21="Да",CV21,"")</s:f>
        <s:v/>
      </s:c>
      <s:c r="CY21" s="30" t="str">
        <s:f>IF(D21="Да",CW21,"")</s:f>
        <s:v/>
      </s:c>
    </s:row>
    <s:row r="22" ht="21.75">
      <s:c r="A22" s="23"/>
      <s:c r="B22" s="33"/>
      <s:c r="C22" s="34"/>
      <s:c r="D22" s="53"/>
      <s:c r="E22" s="54"/>
      <s:c r="F22" s="74"/>
      <s:c r="G22" s="79"/>
      <s:c r="H22" s="26"/>
      <s:c r="I22" s="80"/>
      <s:c r="J22" s="76"/>
      <s:c r="K22" s="26"/>
      <s:c r="L22" s="27"/>
      <s:c r="M22" s="79"/>
      <s:c r="N22" s="26"/>
      <s:c r="O22" s="80"/>
      <s:c r="P22" s="76"/>
      <s:c r="Q22" s="26"/>
      <s:c r="R22" s="27"/>
      <s:c r="S22" s="79"/>
      <s:c r="T22" s="26"/>
      <s:c r="U22" s="80"/>
      <s:c r="V22" s="76"/>
      <s:c r="W22" s="26"/>
      <s:c r="X22" s="27"/>
      <s:c r="Y22" s="79"/>
      <s:c r="Z22" s="26"/>
      <s:c r="AA22" s="80"/>
      <s:c r="AB22" s="76"/>
      <s:c r="AC22" s="26"/>
      <s:c r="AD22" s="27"/>
      <s:c r="AE22" s="79"/>
      <s:c r="AF22" s="26"/>
      <s:c r="AG22" s="80"/>
      <s:c r="AH22" s="76"/>
      <s:c r="AI22" s="26"/>
      <s:c r="AJ22" s="27"/>
      <s:c r="AK22" s="79"/>
      <s:c r="AL22" s="26"/>
      <s:c r="AM22" s="80"/>
      <s:c r="AN22" s="76"/>
      <s:c r="AO22" s="26"/>
      <s:c r="AP22" s="27"/>
      <s:c r="AQ22" s="79"/>
      <s:c r="AR22" s="26"/>
      <s:c r="AS22" s="80"/>
      <s:c r="AT22" s="76"/>
      <s:c r="AU22" s="26"/>
      <s:c r="AV22" s="27"/>
      <s:c r="AW22" s="79"/>
      <s:c r="AX22" s="26"/>
      <s:c r="AY22" s="80"/>
      <s:c r="AZ22" s="76"/>
      <s:c r="BA22" s="26"/>
      <s:c r="BB22" s="27"/>
      <s:c r="BC22" s="79"/>
      <s:c r="BD22" s="26"/>
      <s:c r="BE22" s="80"/>
      <s:c r="BF22" s="76"/>
      <s:c r="BG22" s="26"/>
      <s:c r="BH22" s="27"/>
      <s:c r="BI22" s="79"/>
      <s:c r="BJ22" s="26"/>
      <s:c r="BK22" s="80"/>
      <s:c r="BL22" s="76"/>
      <s:c r="BM22" s="26"/>
      <s:c r="BN22" s="27"/>
      <s:c r="BO22" s="79"/>
      <s:c r="BP22" s="26"/>
      <s:c r="BQ22" s="80"/>
      <s:c r="BR22" s="76"/>
      <s:c r="BS22" s="26"/>
      <s:c r="BT22" s="27"/>
      <s:c r="BU22" s="79"/>
      <s:c r="BV22" s="26"/>
      <s:c r="BW22" s="80"/>
      <s:c r="BX22" s="76"/>
      <s:c r="BY22" s="26"/>
      <s:c r="BZ22" s="27"/>
      <s:c r="CA22" s="79"/>
      <s:c r="CB22" s="26"/>
      <s:c r="CC22" s="80"/>
      <s:c r="CD22" s="76"/>
      <s:c r="CE22" s="26"/>
      <s:c r="CF22" s="27"/>
      <s:c r="CG22" s="79"/>
      <s:c r="CH22" s="26"/>
      <s:c r="CI22" s="80"/>
      <s:c r="CJ22" s="76"/>
      <s:c r="CK22" s="26"/>
      <s:c r="CL22" s="27"/>
      <s:c r="CM22" s="79"/>
      <s:c r="CN22" s="26"/>
      <s:c r="CO22" s="80"/>
      <s:c r="CP22" s="76"/>
      <s:c r="CQ22" s="26"/>
      <s:c r="CR22" s="27"/>
      <s:c r="CS22" s="62">
        <s:f>SUMIFS(D22:CR22,$D$3:$CR$3,"З")</s:f>
        <s:v>0</s:v>
      </s:c>
      <s:c r="CT22" s="63">
        <s:f>SUMIFS(D22:CR22,$D$3:$CR$3,"О")</s:f>
        <s:v>0</s:v>
      </s:c>
      <s:c r="CU22" s="63">
        <s:f>SUMIFS(D22:CR22,$D$3:$CR$3,"У")</s:f>
        <s:v>0</s:v>
      </s:c>
      <s:c r="CV22" s="28">
        <s:f>IF(C22="Да",CS22*$D$46+CT22*$D$47+CU22*$D$48,CS22*$C$46+CT22*$C$47+CU22*$C$48)</s:f>
        <s:v>0</s:v>
      </s:c>
      <s:c r="CW22" s="29" t="str">
        <s:f>IF(C22="Нет",CV22,"")</s:f>
        <s:v/>
      </s:c>
      <s:c r="CX22" s="30" t="str">
        <s:f>IF(C22="Да",CV22,"")</s:f>
        <s:v/>
      </s:c>
      <s:c r="CY22" s="30" t="str">
        <s:f>IF(D22="Да",CW22,"")</s:f>
        <s:v/>
      </s:c>
    </s:row>
    <s:row r="23" ht="21.75">
      <s:c r="A23" s="23"/>
      <s:c r="B23" s="24"/>
      <s:c r="C23" s="25"/>
      <s:c r="D23" s="49"/>
      <s:c r="E23" s="50"/>
      <s:c r="F23" s="74"/>
      <s:c r="G23" s="79"/>
      <s:c r="H23" s="26"/>
      <s:c r="I23" s="80"/>
      <s:c r="J23" s="76"/>
      <s:c r="K23" s="26"/>
      <s:c r="L23" s="27"/>
      <s:c r="M23" s="79"/>
      <s:c r="N23" s="26"/>
      <s:c r="O23" s="80"/>
      <s:c r="P23" s="76"/>
      <s:c r="Q23" s="26"/>
      <s:c r="R23" s="27"/>
      <s:c r="S23" s="79"/>
      <s:c r="T23" s="26"/>
      <s:c r="U23" s="80"/>
      <s:c r="V23" s="76"/>
      <s:c r="W23" s="26"/>
      <s:c r="X23" s="27"/>
      <s:c r="Y23" s="79"/>
      <s:c r="Z23" s="26"/>
      <s:c r="AA23" s="80"/>
      <s:c r="AB23" s="76"/>
      <s:c r="AC23" s="26"/>
      <s:c r="AD23" s="27"/>
      <s:c r="AE23" s="79"/>
      <s:c r="AF23" s="26"/>
      <s:c r="AG23" s="80"/>
      <s:c r="AH23" s="76"/>
      <s:c r="AI23" s="26"/>
      <s:c r="AJ23" s="27"/>
      <s:c r="AK23" s="79"/>
      <s:c r="AL23" s="26"/>
      <s:c r="AM23" s="80"/>
      <s:c r="AN23" s="76"/>
      <s:c r="AO23" s="26"/>
      <s:c r="AP23" s="27"/>
      <s:c r="AQ23" s="79"/>
      <s:c r="AR23" s="26"/>
      <s:c r="AS23" s="80"/>
      <s:c r="AT23" s="76"/>
      <s:c r="AU23" s="26"/>
      <s:c r="AV23" s="27"/>
      <s:c r="AW23" s="79"/>
      <s:c r="AX23" s="26"/>
      <s:c r="AY23" s="80"/>
      <s:c r="AZ23" s="76"/>
      <s:c r="BA23" s="26"/>
      <s:c r="BB23" s="27"/>
      <s:c r="BC23" s="79"/>
      <s:c r="BD23" s="26"/>
      <s:c r="BE23" s="80"/>
      <s:c r="BF23" s="76"/>
      <s:c r="BG23" s="26"/>
      <s:c r="BH23" s="27"/>
      <s:c r="BI23" s="79"/>
      <s:c r="BJ23" s="26"/>
      <s:c r="BK23" s="80"/>
      <s:c r="BL23" s="76"/>
      <s:c r="BM23" s="26"/>
      <s:c r="BN23" s="27"/>
      <s:c r="BO23" s="79"/>
      <s:c r="BP23" s="26"/>
      <s:c r="BQ23" s="80"/>
      <s:c r="BR23" s="76"/>
      <s:c r="BS23" s="26"/>
      <s:c r="BT23" s="27"/>
      <s:c r="BU23" s="79"/>
      <s:c r="BV23" s="26"/>
      <s:c r="BW23" s="80"/>
      <s:c r="BX23" s="76"/>
      <s:c r="BY23" s="26"/>
      <s:c r="BZ23" s="27"/>
      <s:c r="CA23" s="79"/>
      <s:c r="CB23" s="26"/>
      <s:c r="CC23" s="80"/>
      <s:c r="CD23" s="76"/>
      <s:c r="CE23" s="26"/>
      <s:c r="CF23" s="27"/>
      <s:c r="CG23" s="79"/>
      <s:c r="CH23" s="26"/>
      <s:c r="CI23" s="80"/>
      <s:c r="CJ23" s="76"/>
      <s:c r="CK23" s="26"/>
      <s:c r="CL23" s="27"/>
      <s:c r="CM23" s="79"/>
      <s:c r="CN23" s="26"/>
      <s:c r="CO23" s="80"/>
      <s:c r="CP23" s="76"/>
      <s:c r="CQ23" s="26"/>
      <s:c r="CR23" s="27"/>
      <s:c r="CS23" s="62">
        <s:f>SUMIFS(D23:CR23,$D$3:$CR$3,"З")</s:f>
        <s:v>0</s:v>
      </s:c>
      <s:c r="CT23" s="63">
        <s:f>SUMIFS(D23:CR23,$D$3:$CR$3,"О")</s:f>
        <s:v>0</s:v>
      </s:c>
      <s:c r="CU23" s="63">
        <s:f>SUMIFS(D23:CR23,$D$3:$CR$3,"У")</s:f>
        <s:v>0</s:v>
      </s:c>
      <s:c r="CV23" s="28">
        <s:f>IF(C23="Да",CS23*$D$46+CT23*$D$47+CU23*$D$48,CS23*$C$46+CT23*$C$47+CU23*$C$48)</s:f>
        <s:v>0</s:v>
      </s:c>
      <s:c r="CW23" s="29" t="str">
        <s:f>IF(C23="Нет",CV23,"")</s:f>
        <s:v/>
      </s:c>
      <s:c r="CX23" s="30" t="str">
        <s:f>IF(C23="Да",CV23,"")</s:f>
        <s:v/>
      </s:c>
      <s:c r="CY23" s="30" t="str">
        <s:f>IF(D23="Да",CW23,"")</s:f>
        <s:v/>
      </s:c>
    </s:row>
    <s:row r="24" ht="21.75">
      <s:c r="A24" s="23"/>
      <s:c r="B24" s="33"/>
      <s:c r="C24" s="34"/>
      <s:c r="D24" s="53"/>
      <s:c r="E24" s="54"/>
      <s:c r="F24" s="74"/>
      <s:c r="G24" s="79"/>
      <s:c r="H24" s="26"/>
      <s:c r="I24" s="80"/>
      <s:c r="J24" s="76"/>
      <s:c r="K24" s="26"/>
      <s:c r="L24" s="27"/>
      <s:c r="M24" s="79"/>
      <s:c r="N24" s="26"/>
      <s:c r="O24" s="80"/>
      <s:c r="P24" s="76"/>
      <s:c r="Q24" s="26"/>
      <s:c r="R24" s="27"/>
      <s:c r="S24" s="79"/>
      <s:c r="T24" s="26"/>
      <s:c r="U24" s="80"/>
      <s:c r="V24" s="76"/>
      <s:c r="W24" s="26"/>
      <s:c r="X24" s="27"/>
      <s:c r="Y24" s="79"/>
      <s:c r="Z24" s="26"/>
      <s:c r="AA24" s="80"/>
      <s:c r="AB24" s="76"/>
      <s:c r="AC24" s="26"/>
      <s:c r="AD24" s="27"/>
      <s:c r="AE24" s="79"/>
      <s:c r="AF24" s="26"/>
      <s:c r="AG24" s="80"/>
      <s:c r="AH24" s="76"/>
      <s:c r="AI24" s="26"/>
      <s:c r="AJ24" s="27"/>
      <s:c r="AK24" s="79"/>
      <s:c r="AL24" s="26"/>
      <s:c r="AM24" s="80"/>
      <s:c r="AN24" s="76"/>
      <s:c r="AO24" s="26"/>
      <s:c r="AP24" s="27"/>
      <s:c r="AQ24" s="79"/>
      <s:c r="AR24" s="26"/>
      <s:c r="AS24" s="80"/>
      <s:c r="AT24" s="76"/>
      <s:c r="AU24" s="26"/>
      <s:c r="AV24" s="27"/>
      <s:c r="AW24" s="79"/>
      <s:c r="AX24" s="26"/>
      <s:c r="AY24" s="80"/>
      <s:c r="AZ24" s="76"/>
      <s:c r="BA24" s="26"/>
      <s:c r="BB24" s="27"/>
      <s:c r="BC24" s="79"/>
      <s:c r="BD24" s="26"/>
      <s:c r="BE24" s="80"/>
      <s:c r="BF24" s="76"/>
      <s:c r="BG24" s="26"/>
      <s:c r="BH24" s="27"/>
      <s:c r="BI24" s="79"/>
      <s:c r="BJ24" s="26"/>
      <s:c r="BK24" s="80"/>
      <s:c r="BL24" s="76"/>
      <s:c r="BM24" s="26"/>
      <s:c r="BN24" s="27"/>
      <s:c r="BO24" s="79"/>
      <s:c r="BP24" s="26"/>
      <s:c r="BQ24" s="80"/>
      <s:c r="BR24" s="76"/>
      <s:c r="BS24" s="26"/>
      <s:c r="BT24" s="27"/>
      <s:c r="BU24" s="79"/>
      <s:c r="BV24" s="26"/>
      <s:c r="BW24" s="80"/>
      <s:c r="BX24" s="76"/>
      <s:c r="BY24" s="26"/>
      <s:c r="BZ24" s="27"/>
      <s:c r="CA24" s="79"/>
      <s:c r="CB24" s="26"/>
      <s:c r="CC24" s="80"/>
      <s:c r="CD24" s="76"/>
      <s:c r="CE24" s="26"/>
      <s:c r="CF24" s="27"/>
      <s:c r="CG24" s="79"/>
      <s:c r="CH24" s="26"/>
      <s:c r="CI24" s="80"/>
      <s:c r="CJ24" s="76"/>
      <s:c r="CK24" s="26"/>
      <s:c r="CL24" s="27"/>
      <s:c r="CM24" s="79"/>
      <s:c r="CN24" s="26"/>
      <s:c r="CO24" s="80"/>
      <s:c r="CP24" s="76"/>
      <s:c r="CQ24" s="26"/>
      <s:c r="CR24" s="27"/>
      <s:c r="CS24" s="62">
        <s:f>SUMIFS(D24:CR24,$D$3:$CR$3,"З")</s:f>
        <s:v>0</s:v>
      </s:c>
      <s:c r="CT24" s="63">
        <s:f>SUMIFS(D24:CR24,$D$3:$CR$3,"О")</s:f>
        <s:v>0</s:v>
      </s:c>
      <s:c r="CU24" s="63">
        <s:f>SUMIFS(D24:CR24,$D$3:$CR$3,"У")</s:f>
        <s:v>0</s:v>
      </s:c>
      <s:c r="CV24" s="28">
        <s:f>IF(C24="Да",CS24*$D$46+CT24*$D$47+CU24*$D$48,CS24*$C$46+CT24*$C$47+CU24*$C$48)</s:f>
        <s:v>0</s:v>
      </s:c>
      <s:c r="CW24" s="29" t="str">
        <s:f>IF(C24="Нет",CV24,"")</s:f>
        <s:v/>
      </s:c>
      <s:c r="CX24" s="30" t="str">
        <s:f>IF(C24="Да",CV24,"")</s:f>
        <s:v/>
      </s:c>
      <s:c r="CY24" s="30" t="str">
        <s:f>IF(D24="Да",CW24,"")</s:f>
        <s:v/>
      </s:c>
    </s:row>
    <s:row r="25" ht="21.75">
      <s:c r="A25" s="23"/>
      <s:c r="B25" s="33"/>
      <s:c r="C25" s="34"/>
      <s:c r="D25" s="53"/>
      <s:c r="E25" s="54"/>
      <s:c r="F25" s="74"/>
      <s:c r="G25" s="79"/>
      <s:c r="H25" s="26"/>
      <s:c r="I25" s="80"/>
      <s:c r="J25" s="76"/>
      <s:c r="K25" s="26"/>
      <s:c r="L25" s="27"/>
      <s:c r="M25" s="79"/>
      <s:c r="N25" s="26"/>
      <s:c r="O25" s="80"/>
      <s:c r="P25" s="76"/>
      <s:c r="Q25" s="26"/>
      <s:c r="R25" s="27"/>
      <s:c r="S25" s="79"/>
      <s:c r="T25" s="26"/>
      <s:c r="U25" s="80"/>
      <s:c r="V25" s="76"/>
      <s:c r="W25" s="26"/>
      <s:c r="X25" s="27"/>
      <s:c r="Y25" s="79"/>
      <s:c r="Z25" s="26"/>
      <s:c r="AA25" s="80"/>
      <s:c r="AB25" s="76"/>
      <s:c r="AC25" s="26"/>
      <s:c r="AD25" s="27"/>
      <s:c r="AE25" s="79"/>
      <s:c r="AF25" s="26"/>
      <s:c r="AG25" s="80"/>
      <s:c r="AH25" s="76"/>
      <s:c r="AI25" s="26"/>
      <s:c r="AJ25" s="27"/>
      <s:c r="AK25" s="79"/>
      <s:c r="AL25" s="26"/>
      <s:c r="AM25" s="80"/>
      <s:c r="AN25" s="76"/>
      <s:c r="AO25" s="26"/>
      <s:c r="AP25" s="27"/>
      <s:c r="AQ25" s="79"/>
      <s:c r="AR25" s="26"/>
      <s:c r="AS25" s="80"/>
      <s:c r="AT25" s="76"/>
      <s:c r="AU25" s="26"/>
      <s:c r="AV25" s="27"/>
      <s:c r="AW25" s="79"/>
      <s:c r="AX25" s="26"/>
      <s:c r="AY25" s="80"/>
      <s:c r="AZ25" s="76"/>
      <s:c r="BA25" s="26"/>
      <s:c r="BB25" s="27"/>
      <s:c r="BC25" s="79"/>
      <s:c r="BD25" s="26"/>
      <s:c r="BE25" s="80"/>
      <s:c r="BF25" s="76"/>
      <s:c r="BG25" s="26"/>
      <s:c r="BH25" s="27"/>
      <s:c r="BI25" s="79"/>
      <s:c r="BJ25" s="26"/>
      <s:c r="BK25" s="80"/>
      <s:c r="BL25" s="76"/>
      <s:c r="BM25" s="26"/>
      <s:c r="BN25" s="27"/>
      <s:c r="BO25" s="79"/>
      <s:c r="BP25" s="26"/>
      <s:c r="BQ25" s="80"/>
      <s:c r="BR25" s="76"/>
      <s:c r="BS25" s="26"/>
      <s:c r="BT25" s="27"/>
      <s:c r="BU25" s="79"/>
      <s:c r="BV25" s="26"/>
      <s:c r="BW25" s="80"/>
      <s:c r="BX25" s="76"/>
      <s:c r="BY25" s="26"/>
      <s:c r="BZ25" s="27"/>
      <s:c r="CA25" s="79"/>
      <s:c r="CB25" s="26"/>
      <s:c r="CC25" s="80"/>
      <s:c r="CD25" s="76"/>
      <s:c r="CE25" s="26"/>
      <s:c r="CF25" s="27"/>
      <s:c r="CG25" s="79"/>
      <s:c r="CH25" s="26"/>
      <s:c r="CI25" s="80"/>
      <s:c r="CJ25" s="76"/>
      <s:c r="CK25" s="26"/>
      <s:c r="CL25" s="27"/>
      <s:c r="CM25" s="79"/>
      <s:c r="CN25" s="26"/>
      <s:c r="CO25" s="80"/>
      <s:c r="CP25" s="76"/>
      <s:c r="CQ25" s="26"/>
      <s:c r="CR25" s="27"/>
      <s:c r="CS25" s="62">
        <s:f>SUMIFS(D25:CR25,$D$3:$CR$3,"З")</s:f>
        <s:v>0</s:v>
      </s:c>
      <s:c r="CT25" s="63">
        <s:f>SUMIFS(D25:CR25,$D$3:$CR$3,"О")</s:f>
        <s:v>0</s:v>
      </s:c>
      <s:c r="CU25" s="63">
        <s:f>SUMIFS(D25:CR25,$D$3:$CR$3,"У")</s:f>
        <s:v>0</s:v>
      </s:c>
      <s:c r="CV25" s="28">
        <s:f>IF(C25="Да",CS25*$D$46+CT25*$D$47+CU25*$D$48,CS25*$C$46+CT25*$C$47+CU25*$C$48)</s:f>
        <s:v>0</s:v>
      </s:c>
      <s:c r="CW25" s="29" t="str">
        <s:f>IF(C25="Нет",CV25,"")</s:f>
        <s:v/>
      </s:c>
      <s:c r="CX25" s="30" t="str">
        <s:f>IF(C25="Да",CV25,"")</s:f>
        <s:v/>
      </s:c>
      <s:c r="CY25" s="30" t="str">
        <s:f>IF(D25="Да",CW25,"")</s:f>
        <s:v/>
      </s:c>
    </s:row>
    <s:row r="26" ht="21.75">
      <s:c r="A26" s="23"/>
      <s:c r="B26" s="24"/>
      <s:c r="C26" s="25"/>
      <s:c r="D26" s="49"/>
      <s:c r="E26" s="50"/>
      <s:c r="F26" s="74"/>
      <s:c r="G26" s="79"/>
      <s:c r="H26" s="26"/>
      <s:c r="I26" s="80"/>
      <s:c r="J26" s="76"/>
      <s:c r="K26" s="26"/>
      <s:c r="L26" s="27"/>
      <s:c r="M26" s="79"/>
      <s:c r="N26" s="26"/>
      <s:c r="O26" s="80"/>
      <s:c r="P26" s="76"/>
      <s:c r="Q26" s="26"/>
      <s:c r="R26" s="27"/>
      <s:c r="S26" s="79"/>
      <s:c r="T26" s="26"/>
      <s:c r="U26" s="80"/>
      <s:c r="V26" s="76"/>
      <s:c r="W26" s="26"/>
      <s:c r="X26" s="27"/>
      <s:c r="Y26" s="79"/>
      <s:c r="Z26" s="26"/>
      <s:c r="AA26" s="80"/>
      <s:c r="AB26" s="76"/>
      <s:c r="AC26" s="26"/>
      <s:c r="AD26" s="27"/>
      <s:c r="AE26" s="79"/>
      <s:c r="AF26" s="26"/>
      <s:c r="AG26" s="80"/>
      <s:c r="AH26" s="76"/>
      <s:c r="AI26" s="26"/>
      <s:c r="AJ26" s="27"/>
      <s:c r="AK26" s="79"/>
      <s:c r="AL26" s="26"/>
      <s:c r="AM26" s="80"/>
      <s:c r="AN26" s="76"/>
      <s:c r="AO26" s="26"/>
      <s:c r="AP26" s="27"/>
      <s:c r="AQ26" s="79"/>
      <s:c r="AR26" s="26"/>
      <s:c r="AS26" s="80"/>
      <s:c r="AT26" s="76"/>
      <s:c r="AU26" s="26"/>
      <s:c r="AV26" s="27"/>
      <s:c r="AW26" s="79"/>
      <s:c r="AX26" s="26"/>
      <s:c r="AY26" s="80"/>
      <s:c r="AZ26" s="76"/>
      <s:c r="BA26" s="26"/>
      <s:c r="BB26" s="27"/>
      <s:c r="BC26" s="79"/>
      <s:c r="BD26" s="26"/>
      <s:c r="BE26" s="80"/>
      <s:c r="BF26" s="76"/>
      <s:c r="BG26" s="26"/>
      <s:c r="BH26" s="27"/>
      <s:c r="BI26" s="79"/>
      <s:c r="BJ26" s="26"/>
      <s:c r="BK26" s="80"/>
      <s:c r="BL26" s="76"/>
      <s:c r="BM26" s="26"/>
      <s:c r="BN26" s="27"/>
      <s:c r="BO26" s="79"/>
      <s:c r="BP26" s="26"/>
      <s:c r="BQ26" s="80"/>
      <s:c r="BR26" s="76"/>
      <s:c r="BS26" s="26"/>
      <s:c r="BT26" s="27"/>
      <s:c r="BU26" s="79"/>
      <s:c r="BV26" s="26"/>
      <s:c r="BW26" s="80"/>
      <s:c r="BX26" s="76"/>
      <s:c r="BY26" s="26"/>
      <s:c r="BZ26" s="27"/>
      <s:c r="CA26" s="79"/>
      <s:c r="CB26" s="26"/>
      <s:c r="CC26" s="80"/>
      <s:c r="CD26" s="76"/>
      <s:c r="CE26" s="26"/>
      <s:c r="CF26" s="27"/>
      <s:c r="CG26" s="79"/>
      <s:c r="CH26" s="26"/>
      <s:c r="CI26" s="80"/>
      <s:c r="CJ26" s="76"/>
      <s:c r="CK26" s="26"/>
      <s:c r="CL26" s="27"/>
      <s:c r="CM26" s="79"/>
      <s:c r="CN26" s="26"/>
      <s:c r="CO26" s="80"/>
      <s:c r="CP26" s="76"/>
      <s:c r="CQ26" s="26"/>
      <s:c r="CR26" s="27"/>
      <s:c r="CS26" s="62">
        <s:f>SUMIFS(D26:CR26,$D$3:$CR$3,"З")</s:f>
        <s:v>0</s:v>
      </s:c>
      <s:c r="CT26" s="63">
        <s:f>SUMIFS(D26:CR26,$D$3:$CR$3,"О")</s:f>
        <s:v>0</s:v>
      </s:c>
      <s:c r="CU26" s="63">
        <s:f>SUMIFS(D26:CR26,$D$3:$CR$3,"У")</s:f>
        <s:v>0</s:v>
      </s:c>
      <s:c r="CV26" s="28">
        <s:f>IF(C26="Да",CS26*$D$46+CT26*$D$47+CU26*$D$48,CS26*$C$46+CT26*$C$47+CU26*$C$48)</s:f>
        <s:v>0</s:v>
      </s:c>
      <s:c r="CW26" s="29" t="str">
        <s:f>IF(C26="Нет",CV26,"")</s:f>
        <s:v/>
      </s:c>
      <s:c r="CX26" s="30" t="str">
        <s:f>IF(C26="Да",CV26,"")</s:f>
        <s:v/>
      </s:c>
      <s:c r="CY26" s="30" t="str">
        <s:f>IF(D26="Да",CW26,"")</s:f>
        <s:v/>
      </s:c>
    </s:row>
    <s:row r="27" ht="21.75">
      <s:c r="A27" s="23"/>
      <s:c r="B27" s="24"/>
      <s:c r="C27" s="25"/>
      <s:c r="D27" s="49"/>
      <s:c r="E27" s="50"/>
      <s:c r="F27" s="74"/>
      <s:c r="G27" s="79"/>
      <s:c r="H27" s="26"/>
      <s:c r="I27" s="80"/>
      <s:c r="J27" s="76"/>
      <s:c r="K27" s="26"/>
      <s:c r="L27" s="27"/>
      <s:c r="M27" s="79"/>
      <s:c r="N27" s="26"/>
      <s:c r="O27" s="80"/>
      <s:c r="P27" s="76"/>
      <s:c r="Q27" s="26"/>
      <s:c r="R27" s="27"/>
      <s:c r="S27" s="79"/>
      <s:c r="T27" s="26"/>
      <s:c r="U27" s="80"/>
      <s:c r="V27" s="76"/>
      <s:c r="W27" s="26"/>
      <s:c r="X27" s="27"/>
      <s:c r="Y27" s="79"/>
      <s:c r="Z27" s="26"/>
      <s:c r="AA27" s="80"/>
      <s:c r="AB27" s="76"/>
      <s:c r="AC27" s="26"/>
      <s:c r="AD27" s="27"/>
      <s:c r="AE27" s="79"/>
      <s:c r="AF27" s="26"/>
      <s:c r="AG27" s="80"/>
      <s:c r="AH27" s="76"/>
      <s:c r="AI27" s="26"/>
      <s:c r="AJ27" s="27"/>
      <s:c r="AK27" s="79"/>
      <s:c r="AL27" s="26"/>
      <s:c r="AM27" s="80"/>
      <s:c r="AN27" s="76"/>
      <s:c r="AO27" s="26"/>
      <s:c r="AP27" s="27"/>
      <s:c r="AQ27" s="79"/>
      <s:c r="AR27" s="26"/>
      <s:c r="AS27" s="80"/>
      <s:c r="AT27" s="76"/>
      <s:c r="AU27" s="26"/>
      <s:c r="AV27" s="27"/>
      <s:c r="AW27" s="79"/>
      <s:c r="AX27" s="26"/>
      <s:c r="AY27" s="80"/>
      <s:c r="AZ27" s="76"/>
      <s:c r="BA27" s="26"/>
      <s:c r="BB27" s="27"/>
      <s:c r="BC27" s="79"/>
      <s:c r="BD27" s="26"/>
      <s:c r="BE27" s="80"/>
      <s:c r="BF27" s="76"/>
      <s:c r="BG27" s="26"/>
      <s:c r="BH27" s="27"/>
      <s:c r="BI27" s="79"/>
      <s:c r="BJ27" s="26"/>
      <s:c r="BK27" s="80"/>
      <s:c r="BL27" s="76"/>
      <s:c r="BM27" s="26"/>
      <s:c r="BN27" s="27"/>
      <s:c r="BO27" s="79"/>
      <s:c r="BP27" s="26"/>
      <s:c r="BQ27" s="80"/>
      <s:c r="BR27" s="76"/>
      <s:c r="BS27" s="26"/>
      <s:c r="BT27" s="27"/>
      <s:c r="BU27" s="79"/>
      <s:c r="BV27" s="26"/>
      <s:c r="BW27" s="80"/>
      <s:c r="BX27" s="76"/>
      <s:c r="BY27" s="26"/>
      <s:c r="BZ27" s="27"/>
      <s:c r="CA27" s="79"/>
      <s:c r="CB27" s="26"/>
      <s:c r="CC27" s="80"/>
      <s:c r="CD27" s="76"/>
      <s:c r="CE27" s="26"/>
      <s:c r="CF27" s="27"/>
      <s:c r="CG27" s="79"/>
      <s:c r="CH27" s="26"/>
      <s:c r="CI27" s="80"/>
      <s:c r="CJ27" s="76"/>
      <s:c r="CK27" s="26"/>
      <s:c r="CL27" s="27"/>
      <s:c r="CM27" s="79"/>
      <s:c r="CN27" s="26"/>
      <s:c r="CO27" s="80"/>
      <s:c r="CP27" s="76"/>
      <s:c r="CQ27" s="26"/>
      <s:c r="CR27" s="27"/>
      <s:c r="CS27" s="62">
        <s:f>SUMIFS(D27:CR27,$D$3:$CR$3,"З")</s:f>
        <s:v>0</s:v>
      </s:c>
      <s:c r="CT27" s="63">
        <s:f>SUMIFS(D27:CR27,$D$3:$CR$3,"О")</s:f>
        <s:v>0</s:v>
      </s:c>
      <s:c r="CU27" s="63">
        <s:f>SUMIFS(D27:CR27,$D$3:$CR$3,"У")</s:f>
        <s:v>0</s:v>
      </s:c>
      <s:c r="CV27" s="28">
        <s:f>IF(C27="Да",CS27*$D$46+CT27*$D$47+CU27*$D$48,CS27*$C$46+CT27*$C$47+CU27*$C$48)</s:f>
        <s:v>0</s:v>
      </s:c>
      <s:c r="CW27" s="29" t="str">
        <s:f>IF(C27="Нет",CV27,"")</s:f>
        <s:v/>
      </s:c>
      <s:c r="CX27" s="30" t="str">
        <s:f>IF(C27="Да",CV27,"")</s:f>
        <s:v/>
      </s:c>
      <s:c r="CY27" s="30" t="str">
        <s:f>IF(D27="Да",CW27,"")</s:f>
        <s:v/>
      </s:c>
    </s:row>
    <s:row r="28" ht="21.75">
      <s:c r="A28" s="23"/>
      <s:c r="B28" s="24"/>
      <s:c r="C28" s="25"/>
      <s:c r="D28" s="49"/>
      <s:c r="E28" s="50"/>
      <s:c r="F28" s="74"/>
      <s:c r="G28" s="79"/>
      <s:c r="H28" s="26"/>
      <s:c r="I28" s="80"/>
      <s:c r="J28" s="76"/>
      <s:c r="K28" s="26"/>
      <s:c r="L28" s="27"/>
      <s:c r="M28" s="79"/>
      <s:c r="N28" s="26"/>
      <s:c r="O28" s="80"/>
      <s:c r="P28" s="76"/>
      <s:c r="Q28" s="26"/>
      <s:c r="R28" s="27"/>
      <s:c r="S28" s="79"/>
      <s:c r="T28" s="26"/>
      <s:c r="U28" s="80"/>
      <s:c r="V28" s="76"/>
      <s:c r="W28" s="26"/>
      <s:c r="X28" s="27"/>
      <s:c r="Y28" s="79"/>
      <s:c r="Z28" s="26"/>
      <s:c r="AA28" s="80"/>
      <s:c r="AB28" s="76"/>
      <s:c r="AC28" s="26"/>
      <s:c r="AD28" s="27"/>
      <s:c r="AE28" s="79"/>
      <s:c r="AF28" s="26"/>
      <s:c r="AG28" s="80"/>
      <s:c r="AH28" s="76"/>
      <s:c r="AI28" s="26"/>
      <s:c r="AJ28" s="27"/>
      <s:c r="AK28" s="79"/>
      <s:c r="AL28" s="26"/>
      <s:c r="AM28" s="80"/>
      <s:c r="AN28" s="76"/>
      <s:c r="AO28" s="26"/>
      <s:c r="AP28" s="27"/>
      <s:c r="AQ28" s="79"/>
      <s:c r="AR28" s="26"/>
      <s:c r="AS28" s="80"/>
      <s:c r="AT28" s="76"/>
      <s:c r="AU28" s="26"/>
      <s:c r="AV28" s="27"/>
      <s:c r="AW28" s="79"/>
      <s:c r="AX28" s="26"/>
      <s:c r="AY28" s="80"/>
      <s:c r="AZ28" s="76"/>
      <s:c r="BA28" s="26"/>
      <s:c r="BB28" s="27"/>
      <s:c r="BC28" s="79"/>
      <s:c r="BD28" s="26"/>
      <s:c r="BE28" s="80"/>
      <s:c r="BF28" s="76"/>
      <s:c r="BG28" s="26"/>
      <s:c r="BH28" s="27"/>
      <s:c r="BI28" s="79"/>
      <s:c r="BJ28" s="26"/>
      <s:c r="BK28" s="80"/>
      <s:c r="BL28" s="76"/>
      <s:c r="BM28" s="26"/>
      <s:c r="BN28" s="27"/>
      <s:c r="BO28" s="79"/>
      <s:c r="BP28" s="26"/>
      <s:c r="BQ28" s="80"/>
      <s:c r="BR28" s="76"/>
      <s:c r="BS28" s="26"/>
      <s:c r="BT28" s="27"/>
      <s:c r="BU28" s="79"/>
      <s:c r="BV28" s="26"/>
      <s:c r="BW28" s="80"/>
      <s:c r="BX28" s="76"/>
      <s:c r="BY28" s="26"/>
      <s:c r="BZ28" s="27"/>
      <s:c r="CA28" s="79"/>
      <s:c r="CB28" s="26"/>
      <s:c r="CC28" s="80"/>
      <s:c r="CD28" s="76"/>
      <s:c r="CE28" s="26"/>
      <s:c r="CF28" s="27"/>
      <s:c r="CG28" s="79"/>
      <s:c r="CH28" s="26"/>
      <s:c r="CI28" s="80"/>
      <s:c r="CJ28" s="76"/>
      <s:c r="CK28" s="26"/>
      <s:c r="CL28" s="27"/>
      <s:c r="CM28" s="79"/>
      <s:c r="CN28" s="26"/>
      <s:c r="CO28" s="80"/>
      <s:c r="CP28" s="76"/>
      <s:c r="CQ28" s="26"/>
      <s:c r="CR28" s="27"/>
      <s:c r="CS28" s="62">
        <s:f>SUMIFS(D28:CR28,$D$3:$CR$3,"З")</s:f>
        <s:v>0</s:v>
      </s:c>
      <s:c r="CT28" s="63">
        <s:f>SUMIFS(D28:CR28,$D$3:$CR$3,"О")</s:f>
        <s:v>0</s:v>
      </s:c>
      <s:c r="CU28" s="63">
        <s:f>SUMIFS(D28:CR28,$D$3:$CR$3,"У")</s:f>
        <s:v>0</s:v>
      </s:c>
      <s:c r="CV28" s="28">
        <s:f>IF(C28="Да",CS28*$D$46+CT28*$D$47+CU28*$D$48,CS28*$C$46+CT28*$C$47+CU28*$C$48)</s:f>
        <s:v>0</s:v>
      </s:c>
      <s:c r="CW28" s="29" t="str">
        <s:f>IF(C28="Нет",CV28,"")</s:f>
        <s:v/>
      </s:c>
      <s:c r="CX28" s="30" t="str">
        <s:f>IF(C28="Да",CV28,"")</s:f>
        <s:v/>
      </s:c>
      <s:c r="CY28" s="30" t="str">
        <s:f>IF(D28="Да",CW28,"")</s:f>
        <s:v/>
      </s:c>
    </s:row>
    <s:row r="29" ht="21.75">
      <s:c r="A29" s="23"/>
      <s:c r="B29" s="24"/>
      <s:c r="C29" s="25"/>
      <s:c r="D29" s="49"/>
      <s:c r="E29" s="50"/>
      <s:c r="F29" s="74"/>
      <s:c r="G29" s="79"/>
      <s:c r="H29" s="26"/>
      <s:c r="I29" s="80"/>
      <s:c r="J29" s="76"/>
      <s:c r="K29" s="26"/>
      <s:c r="L29" s="27"/>
      <s:c r="M29" s="79"/>
      <s:c r="N29" s="26"/>
      <s:c r="O29" s="80"/>
      <s:c r="P29" s="76"/>
      <s:c r="Q29" s="26"/>
      <s:c r="R29" s="27"/>
      <s:c r="S29" s="79"/>
      <s:c r="T29" s="26"/>
      <s:c r="U29" s="80"/>
      <s:c r="V29" s="76"/>
      <s:c r="W29" s="26"/>
      <s:c r="X29" s="27"/>
      <s:c r="Y29" s="79"/>
      <s:c r="Z29" s="26"/>
      <s:c r="AA29" s="80"/>
      <s:c r="AB29" s="76"/>
      <s:c r="AC29" s="26"/>
      <s:c r="AD29" s="27"/>
      <s:c r="AE29" s="79"/>
      <s:c r="AF29" s="26"/>
      <s:c r="AG29" s="80"/>
      <s:c r="AH29" s="76"/>
      <s:c r="AI29" s="26"/>
      <s:c r="AJ29" s="27"/>
      <s:c r="AK29" s="79"/>
      <s:c r="AL29" s="26"/>
      <s:c r="AM29" s="80"/>
      <s:c r="AN29" s="76"/>
      <s:c r="AO29" s="26"/>
      <s:c r="AP29" s="27"/>
      <s:c r="AQ29" s="79"/>
      <s:c r="AR29" s="26"/>
      <s:c r="AS29" s="80"/>
      <s:c r="AT29" s="76"/>
      <s:c r="AU29" s="26"/>
      <s:c r="AV29" s="27"/>
      <s:c r="AW29" s="79"/>
      <s:c r="AX29" s="26"/>
      <s:c r="AY29" s="80"/>
      <s:c r="AZ29" s="76"/>
      <s:c r="BA29" s="26"/>
      <s:c r="BB29" s="27"/>
      <s:c r="BC29" s="79"/>
      <s:c r="BD29" s="26"/>
      <s:c r="BE29" s="80"/>
      <s:c r="BF29" s="76"/>
      <s:c r="BG29" s="26"/>
      <s:c r="BH29" s="27"/>
      <s:c r="BI29" s="79"/>
      <s:c r="BJ29" s="26"/>
      <s:c r="BK29" s="80"/>
      <s:c r="BL29" s="76"/>
      <s:c r="BM29" s="26"/>
      <s:c r="BN29" s="27"/>
      <s:c r="BO29" s="79"/>
      <s:c r="BP29" s="26"/>
      <s:c r="BQ29" s="80"/>
      <s:c r="BR29" s="76"/>
      <s:c r="BS29" s="26"/>
      <s:c r="BT29" s="27"/>
      <s:c r="BU29" s="79"/>
      <s:c r="BV29" s="26"/>
      <s:c r="BW29" s="80"/>
      <s:c r="BX29" s="76"/>
      <s:c r="BY29" s="26"/>
      <s:c r="BZ29" s="27"/>
      <s:c r="CA29" s="79"/>
      <s:c r="CB29" s="26"/>
      <s:c r="CC29" s="80"/>
      <s:c r="CD29" s="76"/>
      <s:c r="CE29" s="26"/>
      <s:c r="CF29" s="27"/>
      <s:c r="CG29" s="79"/>
      <s:c r="CH29" s="26"/>
      <s:c r="CI29" s="80"/>
      <s:c r="CJ29" s="76"/>
      <s:c r="CK29" s="26"/>
      <s:c r="CL29" s="27"/>
      <s:c r="CM29" s="79"/>
      <s:c r="CN29" s="26"/>
      <s:c r="CO29" s="80"/>
      <s:c r="CP29" s="76"/>
      <s:c r="CQ29" s="26"/>
      <s:c r="CR29" s="27"/>
      <s:c r="CS29" s="62">
        <s:f>SUMIFS(D29:CR29,$D$3:$CR$3,"З")</s:f>
        <s:v>0</s:v>
      </s:c>
      <s:c r="CT29" s="63">
        <s:f>SUMIFS(D29:CR29,$D$3:$CR$3,"О")</s:f>
        <s:v>0</s:v>
      </s:c>
      <s:c r="CU29" s="63">
        <s:f>SUMIFS(D29:CR29,$D$3:$CR$3,"У")</s:f>
        <s:v>0</s:v>
      </s:c>
      <s:c r="CV29" s="28">
        <s:f>IF(C29="Да",CS29*$D$46+CT29*$D$47+CU29*$D$48,CS29*$C$46+CT29*$C$47+CU29*$C$48)</s:f>
        <s:v>0</s:v>
      </s:c>
      <s:c r="CW29" s="29" t="str">
        <s:f>IF(C29="Нет",CV29,"")</s:f>
        <s:v/>
      </s:c>
      <s:c r="CX29" s="30" t="str">
        <s:f>IF(C29="Да",CV29,"")</s:f>
        <s:v/>
      </s:c>
      <s:c r="CY29" s="30" t="str">
        <s:f>IF(D29="Да",CW29,"")</s:f>
        <s:v/>
      </s:c>
    </s:row>
    <s:row r="30" ht="21.75">
      <s:c r="A30" s="23"/>
      <s:c r="B30" s="24"/>
      <s:c r="C30" s="25"/>
      <s:c r="D30" s="49"/>
      <s:c r="E30" s="50"/>
      <s:c r="F30" s="74"/>
      <s:c r="G30" s="79"/>
      <s:c r="H30" s="26"/>
      <s:c r="I30" s="80"/>
      <s:c r="J30" s="76"/>
      <s:c r="K30" s="26"/>
      <s:c r="L30" s="27"/>
      <s:c r="M30" s="79"/>
      <s:c r="N30" s="26"/>
      <s:c r="O30" s="80"/>
      <s:c r="P30" s="76"/>
      <s:c r="Q30" s="26"/>
      <s:c r="R30" s="27"/>
      <s:c r="S30" s="79"/>
      <s:c r="T30" s="26"/>
      <s:c r="U30" s="80"/>
      <s:c r="V30" s="76"/>
      <s:c r="W30" s="26"/>
      <s:c r="X30" s="27"/>
      <s:c r="Y30" s="79"/>
      <s:c r="Z30" s="26"/>
      <s:c r="AA30" s="80"/>
      <s:c r="AB30" s="76"/>
      <s:c r="AC30" s="26"/>
      <s:c r="AD30" s="27"/>
      <s:c r="AE30" s="79"/>
      <s:c r="AF30" s="26"/>
      <s:c r="AG30" s="80"/>
      <s:c r="AH30" s="76"/>
      <s:c r="AI30" s="26"/>
      <s:c r="AJ30" s="27"/>
      <s:c r="AK30" s="79"/>
      <s:c r="AL30" s="26"/>
      <s:c r="AM30" s="80"/>
      <s:c r="AN30" s="76"/>
      <s:c r="AO30" s="26"/>
      <s:c r="AP30" s="27"/>
      <s:c r="AQ30" s="79"/>
      <s:c r="AR30" s="26"/>
      <s:c r="AS30" s="80"/>
      <s:c r="AT30" s="76"/>
      <s:c r="AU30" s="26"/>
      <s:c r="AV30" s="27"/>
      <s:c r="AW30" s="79"/>
      <s:c r="AX30" s="26"/>
      <s:c r="AY30" s="80"/>
      <s:c r="AZ30" s="76"/>
      <s:c r="BA30" s="26"/>
      <s:c r="BB30" s="27"/>
      <s:c r="BC30" s="79"/>
      <s:c r="BD30" s="26"/>
      <s:c r="BE30" s="80"/>
      <s:c r="BF30" s="76"/>
      <s:c r="BG30" s="26"/>
      <s:c r="BH30" s="27"/>
      <s:c r="BI30" s="79"/>
      <s:c r="BJ30" s="26"/>
      <s:c r="BK30" s="80"/>
      <s:c r="BL30" s="76"/>
      <s:c r="BM30" s="26"/>
      <s:c r="BN30" s="27"/>
      <s:c r="BO30" s="79"/>
      <s:c r="BP30" s="26"/>
      <s:c r="BQ30" s="80"/>
      <s:c r="BR30" s="76"/>
      <s:c r="BS30" s="26"/>
      <s:c r="BT30" s="27"/>
      <s:c r="BU30" s="79"/>
      <s:c r="BV30" s="26"/>
      <s:c r="BW30" s="80"/>
      <s:c r="BX30" s="76"/>
      <s:c r="BY30" s="26"/>
      <s:c r="BZ30" s="27"/>
      <s:c r="CA30" s="79"/>
      <s:c r="CB30" s="26"/>
      <s:c r="CC30" s="80"/>
      <s:c r="CD30" s="76"/>
      <s:c r="CE30" s="26"/>
      <s:c r="CF30" s="27"/>
      <s:c r="CG30" s="79"/>
      <s:c r="CH30" s="26"/>
      <s:c r="CI30" s="80"/>
      <s:c r="CJ30" s="76"/>
      <s:c r="CK30" s="26"/>
      <s:c r="CL30" s="27"/>
      <s:c r="CM30" s="79"/>
      <s:c r="CN30" s="26"/>
      <s:c r="CO30" s="80"/>
      <s:c r="CP30" s="76"/>
      <s:c r="CQ30" s="26"/>
      <s:c r="CR30" s="27"/>
      <s:c r="CS30" s="62">
        <s:f>SUMIFS(D30:CR30,$D$3:$CR$3,"З")</s:f>
        <s:v>0</s:v>
      </s:c>
      <s:c r="CT30" s="63">
        <s:f>SUMIFS(D30:CR30,$D$3:$CR$3,"О")</s:f>
        <s:v>0</s:v>
      </s:c>
      <s:c r="CU30" s="63">
        <s:f>SUMIFS(D30:CR30,$D$3:$CR$3,"У")</s:f>
        <s:v>0</s:v>
      </s:c>
      <s:c r="CV30" s="28">
        <s:f>IF(C30="Да",CS30*$D$46+CT30*$D$47+CU30*$D$48,CS30*$C$46+CT30*$C$47+CU30*$C$48)</s:f>
        <s:v>0</s:v>
      </s:c>
      <s:c r="CW30" s="29" t="str">
        <s:f>IF(C30="Нет",CV30,"")</s:f>
        <s:v/>
      </s:c>
      <s:c r="CX30" s="30" t="str">
        <s:f>IF(C30="Да",CV30,"")</s:f>
        <s:v/>
      </s:c>
      <s:c r="CY30" s="30" t="str">
        <s:f>IF(D30="Да",CW30,"")</s:f>
        <s:v/>
      </s:c>
    </s:row>
    <s:row r="31" ht="21.75">
      <s:c r="A31" s="23"/>
      <s:c r="B31" s="24"/>
      <s:c r="C31" s="25"/>
      <s:c r="D31" s="49"/>
      <s:c r="E31" s="50"/>
      <s:c r="F31" s="74"/>
      <s:c r="G31" s="79"/>
      <s:c r="H31" s="26"/>
      <s:c r="I31" s="80"/>
      <s:c r="J31" s="76"/>
      <s:c r="K31" s="26"/>
      <s:c r="L31" s="27"/>
      <s:c r="M31" s="79"/>
      <s:c r="N31" s="26"/>
      <s:c r="O31" s="80"/>
      <s:c r="P31" s="76"/>
      <s:c r="Q31" s="26"/>
      <s:c r="R31" s="27"/>
      <s:c r="S31" s="79"/>
      <s:c r="T31" s="26"/>
      <s:c r="U31" s="80"/>
      <s:c r="V31" s="76"/>
      <s:c r="W31" s="26"/>
      <s:c r="X31" s="27"/>
      <s:c r="Y31" s="79"/>
      <s:c r="Z31" s="26"/>
      <s:c r="AA31" s="80"/>
      <s:c r="AB31" s="76"/>
      <s:c r="AC31" s="26"/>
      <s:c r="AD31" s="27"/>
      <s:c r="AE31" s="79"/>
      <s:c r="AF31" s="26"/>
      <s:c r="AG31" s="80"/>
      <s:c r="AH31" s="76"/>
      <s:c r="AI31" s="26"/>
      <s:c r="AJ31" s="27"/>
      <s:c r="AK31" s="79"/>
      <s:c r="AL31" s="26"/>
      <s:c r="AM31" s="80"/>
      <s:c r="AN31" s="76"/>
      <s:c r="AO31" s="26"/>
      <s:c r="AP31" s="27"/>
      <s:c r="AQ31" s="79"/>
      <s:c r="AR31" s="26"/>
      <s:c r="AS31" s="80"/>
      <s:c r="AT31" s="76"/>
      <s:c r="AU31" s="26"/>
      <s:c r="AV31" s="27"/>
      <s:c r="AW31" s="79"/>
      <s:c r="AX31" s="26"/>
      <s:c r="AY31" s="80"/>
      <s:c r="AZ31" s="76"/>
      <s:c r="BA31" s="26"/>
      <s:c r="BB31" s="27"/>
      <s:c r="BC31" s="79"/>
      <s:c r="BD31" s="26"/>
      <s:c r="BE31" s="80"/>
      <s:c r="BF31" s="76"/>
      <s:c r="BG31" s="26"/>
      <s:c r="BH31" s="27"/>
      <s:c r="BI31" s="79"/>
      <s:c r="BJ31" s="26"/>
      <s:c r="BK31" s="80"/>
      <s:c r="BL31" s="76"/>
      <s:c r="BM31" s="26"/>
      <s:c r="BN31" s="27"/>
      <s:c r="BO31" s="79"/>
      <s:c r="BP31" s="26"/>
      <s:c r="BQ31" s="80"/>
      <s:c r="BR31" s="76"/>
      <s:c r="BS31" s="26"/>
      <s:c r="BT31" s="27"/>
      <s:c r="BU31" s="79"/>
      <s:c r="BV31" s="26"/>
      <s:c r="BW31" s="80"/>
      <s:c r="BX31" s="76"/>
      <s:c r="BY31" s="26"/>
      <s:c r="BZ31" s="27"/>
      <s:c r="CA31" s="79"/>
      <s:c r="CB31" s="26"/>
      <s:c r="CC31" s="80"/>
      <s:c r="CD31" s="76"/>
      <s:c r="CE31" s="26"/>
      <s:c r="CF31" s="27"/>
      <s:c r="CG31" s="79"/>
      <s:c r="CH31" s="26"/>
      <s:c r="CI31" s="80"/>
      <s:c r="CJ31" s="76"/>
      <s:c r="CK31" s="26"/>
      <s:c r="CL31" s="27"/>
      <s:c r="CM31" s="79"/>
      <s:c r="CN31" s="26"/>
      <s:c r="CO31" s="80"/>
      <s:c r="CP31" s="76"/>
      <s:c r="CQ31" s="26"/>
      <s:c r="CR31" s="27"/>
      <s:c r="CS31" s="62">
        <s:f>SUMIFS(D31:CR31,$D$3:$CR$3,"З")</s:f>
        <s:v>0</s:v>
      </s:c>
      <s:c r="CT31" s="63">
        <s:f>SUMIFS(D31:CR31,$D$3:$CR$3,"О")</s:f>
        <s:v>0</s:v>
      </s:c>
      <s:c r="CU31" s="63">
        <s:f>SUMIFS(D31:CR31,$D$3:$CR$3,"У")</s:f>
        <s:v>0</s:v>
      </s:c>
      <s:c r="CV31" s="28">
        <s:f>IF(C31="Да",CS31*$D$46+CT31*$D$47+CU31*$D$48,CS31*$C$46+CT31*$C$47+CU31*$C$48)</s:f>
        <s:v>0</s:v>
      </s:c>
      <s:c r="CW31" s="29" t="str">
        <s:f>IF(C31="Нет",CV31,"")</s:f>
        <s:v/>
      </s:c>
      <s:c r="CX31" s="30" t="str">
        <s:f>IF(C31="Да",CV31,"")</s:f>
        <s:v/>
      </s:c>
      <s:c r="CY31" s="30" t="str">
        <s:f>IF(D31="Да",CW31,"")</s:f>
        <s:v/>
      </s:c>
    </s:row>
    <s:row r="32" ht="21.75">
      <s:c r="A32" s="23"/>
      <s:c r="B32" s="33"/>
      <s:c r="C32" s="34"/>
      <s:c r="D32" s="53"/>
      <s:c r="E32" s="54"/>
      <s:c r="F32" s="74"/>
      <s:c r="G32" s="79"/>
      <s:c r="H32" s="26"/>
      <s:c r="I32" s="80"/>
      <s:c r="J32" s="76"/>
      <s:c r="K32" s="26"/>
      <s:c r="L32" s="27"/>
      <s:c r="M32" s="79"/>
      <s:c r="N32" s="26"/>
      <s:c r="O32" s="80"/>
      <s:c r="P32" s="76"/>
      <s:c r="Q32" s="26"/>
      <s:c r="R32" s="27"/>
      <s:c r="S32" s="79"/>
      <s:c r="T32" s="26"/>
      <s:c r="U32" s="80"/>
      <s:c r="V32" s="76"/>
      <s:c r="W32" s="26"/>
      <s:c r="X32" s="27"/>
      <s:c r="Y32" s="79"/>
      <s:c r="Z32" s="26"/>
      <s:c r="AA32" s="80"/>
      <s:c r="AB32" s="76"/>
      <s:c r="AC32" s="26"/>
      <s:c r="AD32" s="27"/>
      <s:c r="AE32" s="79"/>
      <s:c r="AF32" s="26"/>
      <s:c r="AG32" s="80"/>
      <s:c r="AH32" s="76"/>
      <s:c r="AI32" s="26"/>
      <s:c r="AJ32" s="27"/>
      <s:c r="AK32" s="79"/>
      <s:c r="AL32" s="26"/>
      <s:c r="AM32" s="80"/>
      <s:c r="AN32" s="76"/>
      <s:c r="AO32" s="26"/>
      <s:c r="AP32" s="27"/>
      <s:c r="AQ32" s="79"/>
      <s:c r="AR32" s="26"/>
      <s:c r="AS32" s="80"/>
      <s:c r="AT32" s="76"/>
      <s:c r="AU32" s="26"/>
      <s:c r="AV32" s="27"/>
      <s:c r="AW32" s="79"/>
      <s:c r="AX32" s="26"/>
      <s:c r="AY32" s="80"/>
      <s:c r="AZ32" s="76"/>
      <s:c r="BA32" s="26"/>
      <s:c r="BB32" s="27"/>
      <s:c r="BC32" s="79"/>
      <s:c r="BD32" s="26"/>
      <s:c r="BE32" s="80"/>
      <s:c r="BF32" s="76"/>
      <s:c r="BG32" s="26"/>
      <s:c r="BH32" s="27"/>
      <s:c r="BI32" s="79"/>
      <s:c r="BJ32" s="26"/>
      <s:c r="BK32" s="80"/>
      <s:c r="BL32" s="76"/>
      <s:c r="BM32" s="26"/>
      <s:c r="BN32" s="27"/>
      <s:c r="BO32" s="79"/>
      <s:c r="BP32" s="26"/>
      <s:c r="BQ32" s="80"/>
      <s:c r="BR32" s="76"/>
      <s:c r="BS32" s="26"/>
      <s:c r="BT32" s="27"/>
      <s:c r="BU32" s="79"/>
      <s:c r="BV32" s="26"/>
      <s:c r="BW32" s="80"/>
      <s:c r="BX32" s="76"/>
      <s:c r="BY32" s="26"/>
      <s:c r="BZ32" s="27"/>
      <s:c r="CA32" s="79"/>
      <s:c r="CB32" s="26"/>
      <s:c r="CC32" s="80"/>
      <s:c r="CD32" s="76"/>
      <s:c r="CE32" s="26"/>
      <s:c r="CF32" s="27"/>
      <s:c r="CG32" s="79"/>
      <s:c r="CH32" s="26"/>
      <s:c r="CI32" s="80"/>
      <s:c r="CJ32" s="76"/>
      <s:c r="CK32" s="26"/>
      <s:c r="CL32" s="27"/>
      <s:c r="CM32" s="79"/>
      <s:c r="CN32" s="26"/>
      <s:c r="CO32" s="80"/>
      <s:c r="CP32" s="76"/>
      <s:c r="CQ32" s="26"/>
      <s:c r="CR32" s="27"/>
      <s:c r="CS32" s="62">
        <s:f>SUMIFS(D32:CR32,$D$3:$CR$3,"З")</s:f>
        <s:v>0</s:v>
      </s:c>
      <s:c r="CT32" s="63">
        <s:f>SUMIFS(D32:CR32,$D$3:$CR$3,"О")</s:f>
        <s:v>0</s:v>
      </s:c>
      <s:c r="CU32" s="63">
        <s:f>SUMIFS(D32:CR32,$D$3:$CR$3,"У")</s:f>
        <s:v>0</s:v>
      </s:c>
      <s:c r="CV32" s="28">
        <s:f>IF(C32="Да",CS32*$D$46+CT32*$D$47+CU32*$D$48,CS32*$C$46+CT32*$C$47+CU32*$C$48)</s:f>
        <s:v>0</s:v>
      </s:c>
      <s:c r="CW32" s="29" t="str">
        <s:f>IF(C32="Нет",CV32,"")</s:f>
        <s:v/>
      </s:c>
      <s:c r="CX32" s="30" t="str">
        <s:f>IF(C32="Да",CV32,"")</s:f>
        <s:v/>
      </s:c>
      <s:c r="CY32" s="30" t="str">
        <s:f>IF(D32="Да",CW32,"")</s:f>
        <s:v/>
      </s:c>
    </s:row>
    <s:row r="33" ht="21.75">
      <s:c r="A33" s="23"/>
      <s:c r="B33" s="35"/>
      <s:c r="C33" s="36"/>
      <s:c r="D33" s="49"/>
      <s:c r="E33" s="50"/>
      <s:c r="F33" s="74"/>
      <s:c r="G33" s="79"/>
      <s:c r="H33" s="26"/>
      <s:c r="I33" s="80"/>
      <s:c r="J33" s="76"/>
      <s:c r="K33" s="26"/>
      <s:c r="L33" s="27"/>
      <s:c r="M33" s="79"/>
      <s:c r="N33" s="26"/>
      <s:c r="O33" s="80"/>
      <s:c r="P33" s="76"/>
      <s:c r="Q33" s="26"/>
      <s:c r="R33" s="27"/>
      <s:c r="S33" s="79"/>
      <s:c r="T33" s="26"/>
      <s:c r="U33" s="80"/>
      <s:c r="V33" s="76"/>
      <s:c r="W33" s="26"/>
      <s:c r="X33" s="27"/>
      <s:c r="Y33" s="79"/>
      <s:c r="Z33" s="26"/>
      <s:c r="AA33" s="80"/>
      <s:c r="AB33" s="76"/>
      <s:c r="AC33" s="26"/>
      <s:c r="AD33" s="27"/>
      <s:c r="AE33" s="79"/>
      <s:c r="AF33" s="26"/>
      <s:c r="AG33" s="80"/>
      <s:c r="AH33" s="76"/>
      <s:c r="AI33" s="26"/>
      <s:c r="AJ33" s="27"/>
      <s:c r="AK33" s="79"/>
      <s:c r="AL33" s="26"/>
      <s:c r="AM33" s="80"/>
      <s:c r="AN33" s="76"/>
      <s:c r="AO33" s="26"/>
      <s:c r="AP33" s="27"/>
      <s:c r="AQ33" s="79"/>
      <s:c r="AR33" s="26"/>
      <s:c r="AS33" s="80"/>
      <s:c r="AT33" s="76"/>
      <s:c r="AU33" s="26"/>
      <s:c r="AV33" s="27"/>
      <s:c r="AW33" s="79"/>
      <s:c r="AX33" s="26"/>
      <s:c r="AY33" s="80"/>
      <s:c r="AZ33" s="76"/>
      <s:c r="BA33" s="26"/>
      <s:c r="BB33" s="27"/>
      <s:c r="BC33" s="79"/>
      <s:c r="BD33" s="26"/>
      <s:c r="BE33" s="80"/>
      <s:c r="BF33" s="76"/>
      <s:c r="BG33" s="26"/>
      <s:c r="BH33" s="27"/>
      <s:c r="BI33" s="79"/>
      <s:c r="BJ33" s="26"/>
      <s:c r="BK33" s="80"/>
      <s:c r="BL33" s="76"/>
      <s:c r="BM33" s="26"/>
      <s:c r="BN33" s="27"/>
      <s:c r="BO33" s="79"/>
      <s:c r="BP33" s="26"/>
      <s:c r="BQ33" s="80"/>
      <s:c r="BR33" s="76"/>
      <s:c r="BS33" s="26"/>
      <s:c r="BT33" s="27"/>
      <s:c r="BU33" s="79"/>
      <s:c r="BV33" s="26"/>
      <s:c r="BW33" s="80"/>
      <s:c r="BX33" s="76"/>
      <s:c r="BY33" s="26"/>
      <s:c r="BZ33" s="27"/>
      <s:c r="CA33" s="79"/>
      <s:c r="CB33" s="26"/>
      <s:c r="CC33" s="80"/>
      <s:c r="CD33" s="76"/>
      <s:c r="CE33" s="26"/>
      <s:c r="CF33" s="27"/>
      <s:c r="CG33" s="79"/>
      <s:c r="CH33" s="26"/>
      <s:c r="CI33" s="80"/>
      <s:c r="CJ33" s="76"/>
      <s:c r="CK33" s="26"/>
      <s:c r="CL33" s="27"/>
      <s:c r="CM33" s="79"/>
      <s:c r="CN33" s="26"/>
      <s:c r="CO33" s="80"/>
      <s:c r="CP33" s="76"/>
      <s:c r="CQ33" s="26"/>
      <s:c r="CR33" s="27"/>
      <s:c r="CS33" s="62">
        <s:f>SUMIFS(D33:CR33,$D$3:$CR$3,"З")</s:f>
        <s:v>0</s:v>
      </s:c>
      <s:c r="CT33" s="63">
        <s:f>SUMIFS(D33:CR33,$D$3:$CR$3,"О")</s:f>
        <s:v>0</s:v>
      </s:c>
      <s:c r="CU33" s="63">
        <s:f>SUMIFS(D33:CR33,$D$3:$CR$3,"У")</s:f>
        <s:v>0</s:v>
      </s:c>
      <s:c r="CV33" s="28">
        <s:f>IF(C33="Да",CS33*$D$46+CT33*$D$47+CU33*$D$48,CS33*$C$46+CT33*$C$47+CU33*$C$48)</s:f>
        <s:v>0</s:v>
      </s:c>
      <s:c r="CW33" s="29" t="str">
        <s:f>IF(C33="Нет",CV33,"")</s:f>
        <s:v/>
      </s:c>
      <s:c r="CX33" s="30" t="str">
        <s:f>IF(C33="Да",CV33,"")</s:f>
        <s:v/>
      </s:c>
      <s:c r="CY33" s="30" t="str">
        <s:f>IF(D33="Да",CW33,"")</s:f>
        <s:v/>
      </s:c>
    </s:row>
    <s:row r="34" ht="21.75">
      <s:c r="A34" s="23"/>
      <s:c r="B34" s="35"/>
      <s:c r="C34" s="36"/>
      <s:c r="D34" s="49"/>
      <s:c r="E34" s="50"/>
      <s:c r="F34" s="74"/>
      <s:c r="G34" s="79"/>
      <s:c r="H34" s="26"/>
      <s:c r="I34" s="80"/>
      <s:c r="J34" s="76"/>
      <s:c r="K34" s="26"/>
      <s:c r="L34" s="27"/>
      <s:c r="M34" s="79"/>
      <s:c r="N34" s="26"/>
      <s:c r="O34" s="80"/>
      <s:c r="P34" s="76"/>
      <s:c r="Q34" s="26"/>
      <s:c r="R34" s="27"/>
      <s:c r="S34" s="79"/>
      <s:c r="T34" s="26"/>
      <s:c r="U34" s="80"/>
      <s:c r="V34" s="76"/>
      <s:c r="W34" s="26"/>
      <s:c r="X34" s="27"/>
      <s:c r="Y34" s="79"/>
      <s:c r="Z34" s="26"/>
      <s:c r="AA34" s="80"/>
      <s:c r="AB34" s="76"/>
      <s:c r="AC34" s="26"/>
      <s:c r="AD34" s="27"/>
      <s:c r="AE34" s="79"/>
      <s:c r="AF34" s="26"/>
      <s:c r="AG34" s="80"/>
      <s:c r="AH34" s="76"/>
      <s:c r="AI34" s="26"/>
      <s:c r="AJ34" s="27"/>
      <s:c r="AK34" s="79"/>
      <s:c r="AL34" s="26"/>
      <s:c r="AM34" s="80"/>
      <s:c r="AN34" s="76"/>
      <s:c r="AO34" s="26"/>
      <s:c r="AP34" s="27"/>
      <s:c r="AQ34" s="79"/>
      <s:c r="AR34" s="26"/>
      <s:c r="AS34" s="80"/>
      <s:c r="AT34" s="76"/>
      <s:c r="AU34" s="26"/>
      <s:c r="AV34" s="27"/>
      <s:c r="AW34" s="79"/>
      <s:c r="AX34" s="26"/>
      <s:c r="AY34" s="80"/>
      <s:c r="AZ34" s="76"/>
      <s:c r="BA34" s="26"/>
      <s:c r="BB34" s="27"/>
      <s:c r="BC34" s="79"/>
      <s:c r="BD34" s="26"/>
      <s:c r="BE34" s="80"/>
      <s:c r="BF34" s="76"/>
      <s:c r="BG34" s="26"/>
      <s:c r="BH34" s="27"/>
      <s:c r="BI34" s="79"/>
      <s:c r="BJ34" s="26"/>
      <s:c r="BK34" s="80"/>
      <s:c r="BL34" s="76"/>
      <s:c r="BM34" s="26"/>
      <s:c r="BN34" s="27"/>
      <s:c r="BO34" s="79"/>
      <s:c r="BP34" s="26"/>
      <s:c r="BQ34" s="80"/>
      <s:c r="BR34" s="76"/>
      <s:c r="BS34" s="26"/>
      <s:c r="BT34" s="27"/>
      <s:c r="BU34" s="79"/>
      <s:c r="BV34" s="26"/>
      <s:c r="BW34" s="80"/>
      <s:c r="BX34" s="76"/>
      <s:c r="BY34" s="26"/>
      <s:c r="BZ34" s="27"/>
      <s:c r="CA34" s="79"/>
      <s:c r="CB34" s="26"/>
      <s:c r="CC34" s="80"/>
      <s:c r="CD34" s="76"/>
      <s:c r="CE34" s="26"/>
      <s:c r="CF34" s="27"/>
      <s:c r="CG34" s="79"/>
      <s:c r="CH34" s="26"/>
      <s:c r="CI34" s="80"/>
      <s:c r="CJ34" s="76"/>
      <s:c r="CK34" s="26"/>
      <s:c r="CL34" s="27"/>
      <s:c r="CM34" s="79"/>
      <s:c r="CN34" s="26"/>
      <s:c r="CO34" s="80"/>
      <s:c r="CP34" s="76"/>
      <s:c r="CQ34" s="26"/>
      <s:c r="CR34" s="27"/>
      <s:c r="CS34" s="62">
        <s:f>SUMIFS(D34:CR34,$D$3:$CR$3,"З")</s:f>
        <s:v>0</s:v>
      </s:c>
      <s:c r="CT34" s="63">
        <s:f>SUMIFS(D34:CR34,$D$3:$CR$3,"О")</s:f>
        <s:v>0</s:v>
      </s:c>
      <s:c r="CU34" s="63">
        <s:f>SUMIFS(D34:CR34,$D$3:$CR$3,"У")</s:f>
        <s:v>0</s:v>
      </s:c>
      <s:c r="CV34" s="28">
        <s:f>IF(C34="Да",CS34*$D$46+CT34*$D$47+CU34*$D$48,CS34*$C$46+CT34*$C$47+CU34*$C$48)</s:f>
        <s:v>0</s:v>
      </s:c>
      <s:c r="CW34" s="29" t="str">
        <s:f>IF(C34="Нет",CV34,"")</s:f>
        <s:v/>
      </s:c>
      <s:c r="CX34" s="30" t="str">
        <s:f>IF(C34="Да",CV34,"")</s:f>
        <s:v/>
      </s:c>
      <s:c r="CY34" s="30" t="str">
        <s:f>IF(D34="Да",CW34,"")</s:f>
        <s:v/>
      </s:c>
    </s:row>
    <s:row r="35" ht="21.75">
      <s:c r="A35" s="37"/>
      <s:c r="B35" s="38"/>
      <s:c r="C35" s="39"/>
      <s:c r="D35" s="55"/>
      <s:c r="E35" s="56"/>
      <s:c r="F35" s="75"/>
      <s:c r="G35" s="81"/>
      <s:c r="H35" s="40"/>
      <s:c r="I35" s="82"/>
      <s:c r="J35" s="77"/>
      <s:c r="K35" s="40"/>
      <s:c r="L35" s="41"/>
      <s:c r="M35" s="81"/>
      <s:c r="N35" s="40"/>
      <s:c r="O35" s="82"/>
      <s:c r="P35" s="77"/>
      <s:c r="Q35" s="40"/>
      <s:c r="R35" s="41"/>
      <s:c r="S35" s="81"/>
      <s:c r="T35" s="40"/>
      <s:c r="U35" s="82"/>
      <s:c r="V35" s="77"/>
      <s:c r="W35" s="40"/>
      <s:c r="X35" s="41"/>
      <s:c r="Y35" s="81"/>
      <s:c r="Z35" s="40"/>
      <s:c r="AA35" s="82"/>
      <s:c r="AB35" s="77"/>
      <s:c r="AC35" s="40"/>
      <s:c r="AD35" s="41"/>
      <s:c r="AE35" s="81"/>
      <s:c r="AF35" s="40"/>
      <s:c r="AG35" s="82"/>
      <s:c r="AH35" s="77"/>
      <s:c r="AI35" s="40"/>
      <s:c r="AJ35" s="41"/>
      <s:c r="AK35" s="81"/>
      <s:c r="AL35" s="40"/>
      <s:c r="AM35" s="82"/>
      <s:c r="AN35" s="77"/>
      <s:c r="AO35" s="40"/>
      <s:c r="AP35" s="41"/>
      <s:c r="AQ35" s="81"/>
      <s:c r="AR35" s="40"/>
      <s:c r="AS35" s="82"/>
      <s:c r="AT35" s="77"/>
      <s:c r="AU35" s="40"/>
      <s:c r="AV35" s="41"/>
      <s:c r="AW35" s="81"/>
      <s:c r="AX35" s="40"/>
      <s:c r="AY35" s="82"/>
      <s:c r="AZ35" s="77"/>
      <s:c r="BA35" s="40"/>
      <s:c r="BB35" s="41"/>
      <s:c r="BC35" s="81"/>
      <s:c r="BD35" s="40"/>
      <s:c r="BE35" s="82"/>
      <s:c r="BF35" s="77"/>
      <s:c r="BG35" s="40"/>
      <s:c r="BH35" s="41"/>
      <s:c r="BI35" s="81"/>
      <s:c r="BJ35" s="40"/>
      <s:c r="BK35" s="82"/>
      <s:c r="BL35" s="77"/>
      <s:c r="BM35" s="40"/>
      <s:c r="BN35" s="41"/>
      <s:c r="BO35" s="81"/>
      <s:c r="BP35" s="40"/>
      <s:c r="BQ35" s="82"/>
      <s:c r="BR35" s="77"/>
      <s:c r="BS35" s="40"/>
      <s:c r="BT35" s="41"/>
      <s:c r="BU35" s="81"/>
      <s:c r="BV35" s="40"/>
      <s:c r="BW35" s="82"/>
      <s:c r="BX35" s="77"/>
      <s:c r="BY35" s="40"/>
      <s:c r="BZ35" s="41"/>
      <s:c r="CA35" s="81"/>
      <s:c r="CB35" s="40"/>
      <s:c r="CC35" s="82"/>
      <s:c r="CD35" s="77"/>
      <s:c r="CE35" s="40"/>
      <s:c r="CF35" s="41"/>
      <s:c r="CG35" s="81"/>
      <s:c r="CH35" s="40"/>
      <s:c r="CI35" s="82"/>
      <s:c r="CJ35" s="77"/>
      <s:c r="CK35" s="40"/>
      <s:c r="CL35" s="41"/>
      <s:c r="CM35" s="81"/>
      <s:c r="CN35" s="40"/>
      <s:c r="CO35" s="82"/>
      <s:c r="CP35" s="77"/>
      <s:c r="CQ35" s="40"/>
      <s:c r="CR35" s="41"/>
      <s:c r="CS35" s="67">
        <s:f>SUMIFS(D35:CR35,$D$3:$CR$3,"З")</s:f>
        <s:v>0</s:v>
      </s:c>
      <s:c r="CT35" s="68">
        <s:f>SUMIFS(D35:CR35,$D$3:$CR$3,"О")</s:f>
        <s:v>0</s:v>
      </s:c>
      <s:c r="CU35" s="68">
        <s:f>SUMIFS(D35:CR35,$D$3:$CR$3,"У")</s:f>
        <s:v>0</s:v>
      </s:c>
      <s:c r="CV35" s="42">
        <s:f>IF(C35="Да",CS35*$D$46+CT35*$D$47+CU35*$D$48,CS35*$C$46+CT35*$C$47+CU35*$C$48)</s:f>
        <s:v>0</s:v>
      </s:c>
      <s:c r="CW35" s="43" t="str">
        <s:f>IF(C35="Нет",CV35,"")</s:f>
        <s:v/>
      </s:c>
      <s:c r="CX35" s="44" t="str">
        <s:f>IF(C35="Да",CV35,"")</s:f>
        <s:v/>
      </s:c>
      <s:c r="CY35" s="44" t="str">
        <s:f>IF(D35="Да",CW35,"")</s:f>
        <s:v/>
      </s:c>
    </s:row>
    <s:row r="36" ht="21.75">
      <s:c r="A36" s="45"/>
      <s:c r="B36" s="46"/>
      <s:c r="C36" s="47"/>
      <s:c r="D36" s="7" t="s">
        <s:v>10</s:v>
      </s:c>
      <s:c r="E36" s="8" t="s">
        <s:v>11</s:v>
      </s:c>
      <s:c r="F36" s="94" t="s">
        <s:v>12</s:v>
      </s:c>
      <s:c r="G36" s="97" t="s">
        <s:v>10</s:v>
      </s:c>
      <s:c r="H36" s="8" t="s">
        <s:v>11</s:v>
      </s:c>
      <s:c r="I36" s="98" t="s">
        <s:v>12</s:v>
      </s:c>
      <s:c r="J36" s="7" t="s">
        <s:v>10</s:v>
      </s:c>
      <s:c r="K36" s="8" t="s">
        <s:v>11</s:v>
      </s:c>
      <s:c r="L36" s="94" t="s">
        <s:v>12</s:v>
      </s:c>
      <s:c r="M36" s="97" t="s">
        <s:v>10</s:v>
      </s:c>
      <s:c r="N36" s="8" t="s">
        <s:v>11</s:v>
      </s:c>
      <s:c r="O36" s="98" t="s">
        <s:v>12</s:v>
      </s:c>
      <s:c r="P36" s="7" t="s">
        <s:v>10</s:v>
      </s:c>
      <s:c r="Q36" s="8" t="s">
        <s:v>11</s:v>
      </s:c>
      <s:c r="R36" s="94" t="s">
        <s:v>12</s:v>
      </s:c>
      <s:c r="S36" s="97" t="s">
        <s:v>10</s:v>
      </s:c>
      <s:c r="T36" s="8" t="s">
        <s:v>11</s:v>
      </s:c>
      <s:c r="U36" s="98" t="s">
        <s:v>12</s:v>
      </s:c>
      <s:c r="V36" s="7" t="s">
        <s:v>10</s:v>
      </s:c>
      <s:c r="W36" s="8" t="s">
        <s:v>11</s:v>
      </s:c>
      <s:c r="X36" s="94" t="s">
        <s:v>12</s:v>
      </s:c>
      <s:c r="Y36" s="97" t="s">
        <s:v>10</s:v>
      </s:c>
      <s:c r="Z36" s="8" t="s">
        <s:v>11</s:v>
      </s:c>
      <s:c r="AA36" s="98" t="s">
        <s:v>12</s:v>
      </s:c>
      <s:c r="AB36" s="7" t="s">
        <s:v>10</s:v>
      </s:c>
      <s:c r="AC36" s="8" t="s">
        <s:v>11</s:v>
      </s:c>
      <s:c r="AD36" s="94" t="s">
        <s:v>12</s:v>
      </s:c>
      <s:c r="AE36" s="97" t="s">
        <s:v>10</s:v>
      </s:c>
      <s:c r="AF36" s="8" t="s">
        <s:v>11</s:v>
      </s:c>
      <s:c r="AG36" s="98" t="s">
        <s:v>12</s:v>
      </s:c>
      <s:c r="AH36" s="7" t="s">
        <s:v>10</s:v>
      </s:c>
      <s:c r="AI36" s="8" t="s">
        <s:v>11</s:v>
      </s:c>
      <s:c r="AJ36" s="94" t="s">
        <s:v>12</s:v>
      </s:c>
      <s:c r="AK36" s="97" t="s">
        <s:v>10</s:v>
      </s:c>
      <s:c r="AL36" s="8" t="s">
        <s:v>11</s:v>
      </s:c>
      <s:c r="AM36" s="98" t="s">
        <s:v>12</s:v>
      </s:c>
      <s:c r="AN36" s="7" t="s">
        <s:v>10</s:v>
      </s:c>
      <s:c r="AO36" s="8" t="s">
        <s:v>11</s:v>
      </s:c>
      <s:c r="AP36" s="94" t="s">
        <s:v>12</s:v>
      </s:c>
      <s:c r="AQ36" s="97" t="s">
        <s:v>10</s:v>
      </s:c>
      <s:c r="AR36" s="8" t="s">
        <s:v>11</s:v>
      </s:c>
      <s:c r="AS36" s="98" t="s">
        <s:v>12</s:v>
      </s:c>
      <s:c r="AT36" s="7" t="s">
        <s:v>10</s:v>
      </s:c>
      <s:c r="AU36" s="8" t="s">
        <s:v>11</s:v>
      </s:c>
      <s:c r="AV36" s="94" t="s">
        <s:v>12</s:v>
      </s:c>
      <s:c r="AW36" s="97" t="s">
        <s:v>10</s:v>
      </s:c>
      <s:c r="AX36" s="8" t="s">
        <s:v>11</s:v>
      </s:c>
      <s:c r="AY36" s="98" t="s">
        <s:v>12</s:v>
      </s:c>
      <s:c r="AZ36" s="7" t="s">
        <s:v>10</s:v>
      </s:c>
      <s:c r="BA36" s="8" t="s">
        <s:v>11</s:v>
      </s:c>
      <s:c r="BB36" s="94" t="s">
        <s:v>12</s:v>
      </s:c>
      <s:c r="BC36" s="97" t="s">
        <s:v>10</s:v>
      </s:c>
      <s:c r="BD36" s="8" t="s">
        <s:v>11</s:v>
      </s:c>
      <s:c r="BE36" s="98" t="s">
        <s:v>12</s:v>
      </s:c>
      <s:c r="BF36" s="7" t="s">
        <s:v>10</s:v>
      </s:c>
      <s:c r="BG36" s="8" t="s">
        <s:v>11</s:v>
      </s:c>
      <s:c r="BH36" s="94" t="s">
        <s:v>12</s:v>
      </s:c>
      <s:c r="BI36" s="97" t="s">
        <s:v>10</s:v>
      </s:c>
      <s:c r="BJ36" s="8" t="s">
        <s:v>11</s:v>
      </s:c>
      <s:c r="BK36" s="98" t="s">
        <s:v>12</s:v>
      </s:c>
      <s:c r="BL36" s="7" t="s">
        <s:v>10</s:v>
      </s:c>
      <s:c r="BM36" s="8" t="s">
        <s:v>11</s:v>
      </s:c>
      <s:c r="BN36" s="94" t="s">
        <s:v>12</s:v>
      </s:c>
      <s:c r="BO36" s="97" t="s">
        <s:v>10</s:v>
      </s:c>
      <s:c r="BP36" s="8" t="s">
        <s:v>11</s:v>
      </s:c>
      <s:c r="BQ36" s="98" t="s">
        <s:v>12</s:v>
      </s:c>
      <s:c r="BR36" s="7" t="s">
        <s:v>10</s:v>
      </s:c>
      <s:c r="BS36" s="8" t="s">
        <s:v>11</s:v>
      </s:c>
      <s:c r="BT36" s="94" t="s">
        <s:v>12</s:v>
      </s:c>
      <s:c r="BU36" s="97" t="s">
        <s:v>10</s:v>
      </s:c>
      <s:c r="BV36" s="8" t="s">
        <s:v>11</s:v>
      </s:c>
      <s:c r="BW36" s="98" t="s">
        <s:v>12</s:v>
      </s:c>
      <s:c r="BX36" s="7" t="s">
        <s:v>10</s:v>
      </s:c>
      <s:c r="BY36" s="8" t="s">
        <s:v>11</s:v>
      </s:c>
      <s:c r="BZ36" s="94" t="s">
        <s:v>12</s:v>
      </s:c>
      <s:c r="CA36" s="97" t="s">
        <s:v>10</s:v>
      </s:c>
      <s:c r="CB36" s="8" t="s">
        <s:v>11</s:v>
      </s:c>
      <s:c r="CC36" s="98" t="s">
        <s:v>12</s:v>
      </s:c>
      <s:c r="CD36" s="7" t="s">
        <s:v>10</s:v>
      </s:c>
      <s:c r="CE36" s="8" t="s">
        <s:v>11</s:v>
      </s:c>
      <s:c r="CF36" s="94" t="s">
        <s:v>12</s:v>
      </s:c>
      <s:c r="CG36" s="97" t="s">
        <s:v>10</s:v>
      </s:c>
      <s:c r="CH36" s="8" t="s">
        <s:v>11</s:v>
      </s:c>
      <s:c r="CI36" s="98" t="s">
        <s:v>12</s:v>
      </s:c>
      <s:c r="CJ36" s="7" t="s">
        <s:v>10</s:v>
      </s:c>
      <s:c r="CK36" s="8" t="s">
        <s:v>11</s:v>
      </s:c>
      <s:c r="CL36" s="94" t="s">
        <s:v>12</s:v>
      </s:c>
      <s:c r="CM36" s="97" t="s">
        <s:v>10</s:v>
      </s:c>
      <s:c r="CN36" s="8" t="s">
        <s:v>11</s:v>
      </s:c>
      <s:c r="CO36" s="98" t="s">
        <s:v>12</s:v>
      </s:c>
      <s:c r="CP36" s="7" t="s">
        <s:v>10</s:v>
      </s:c>
      <s:c r="CQ36" s="8" t="s">
        <s:v>11</s:v>
      </s:c>
      <s:c r="CR36" s="94" t="s">
        <s:v>12</s:v>
      </s:c>
      <s:c r="CS36" s="92" t="s">
        <s:v>10</s:v>
      </s:c>
      <s:c r="CT36" s="10" t="s">
        <s:v>11</s:v>
      </s:c>
      <s:c r="CU36" s="69" t="s">
        <s:v>12</s:v>
      </s:c>
      <s:c r="CV36" s="173" t="s">
        <s:v>30</s:v>
      </s:c>
      <s:c r="CW36" s="174"/>
      <s:c r="CX36" s="174"/>
      <s:c r="CY36" s="175"/>
    </s:row>
    <s:row r="37" ht="21.75">
      <s:c r="A37" s="45"/>
      <s:c r="B37" s="48" t="s">
        <s:v>13</s:v>
      </s:c>
      <s:c r="C37" s="89"/>
      <s:c r="D37" s="86">
        <s:f>SUM(D4:D35)</s:f>
        <s:v>0</s:v>
      </s:c>
      <s:c r="E37" s="84">
        <s:f>SUM(E4:E35)</s:f>
        <s:v>0</s:v>
      </s:c>
      <s:c r="F37" s="87">
        <s:f>SUM(F4:F35)</s:f>
        <s:v>0</s:v>
      </s:c>
      <s:c r="G37" s="88">
        <s:f>SUM(G4:G35)</s:f>
        <s:v>0</s:v>
      </s:c>
      <s:c r="H37" s="84">
        <s:f>SUM(H4:H35)</s:f>
        <s:v>0</s:v>
      </s:c>
      <s:c r="I37" s="85">
        <s:f>SUM(I4:I35)</s:f>
        <s:v>0</s:v>
      </s:c>
      <s:c r="J37" s="86">
        <s:f>SUM(J4:J35)</s:f>
        <s:v>2</s:v>
      </s:c>
      <s:c r="K37" s="84">
        <s:f>SUM(K4:K35)</s:f>
        <s:v>8</s:v>
      </s:c>
      <s:c r="L37" s="87">
        <s:f>SUM(L4:L35)</s:f>
        <s:v>8</s:v>
      </s:c>
      <s:c r="M37" s="88">
        <s:f>SUM(M4:M35)</s:f>
        <s:v>8</s:v>
      </s:c>
      <s:c r="N37" s="84">
        <s:f>SUM(N4:N35)</s:f>
        <s:v>8</s:v>
      </s:c>
      <s:c r="O37" s="85">
        <s:f>SUM(O4:O35)</s:f>
        <s:v>8</s:v>
      </s:c>
      <s:c r="P37" s="86">
        <s:f>SUM(P4:P35)</s:f>
        <s:v>8</s:v>
      </s:c>
      <s:c r="Q37" s="84">
        <s:f>SUM(Q4:Q35)</s:f>
        <s:v>8</s:v>
      </s:c>
      <s:c r="R37" s="87">
        <s:f>SUM(R4:R35)</s:f>
        <s:v>8</s:v>
      </s:c>
      <s:c r="S37" s="88">
        <s:f>SUM(S4:S35)</s:f>
        <s:v>10</s:v>
      </s:c>
      <s:c r="T37" s="84">
        <s:f>SUM(T4:T35)</s:f>
        <s:v>0</s:v>
      </s:c>
      <s:c r="U37" s="85">
        <s:f>SUM(U4:U35)</s:f>
        <s:v>0</s:v>
      </s:c>
      <s:c r="V37" s="86">
        <s:f>SUM(V4:V35)</s:f>
        <s:v>2</s:v>
      </s:c>
      <s:c r="W37" s="84">
        <s:f>SUM(W4:W35)</s:f>
        <s:v>0</s:v>
      </s:c>
      <s:c r="X37" s="87">
        <s:f>SUM(X4:X35)</s:f>
        <s:v>0</s:v>
      </s:c>
      <s:c r="Y37" s="88">
        <s:f>SUM(Y4:Y35)</s:f>
        <s:v>0</s:v>
      </s:c>
      <s:c r="Z37" s="84">
        <s:f>SUM(Z4:Z35)</s:f>
        <s:v>35</s:v>
      </s:c>
      <s:c r="AA37" s="85">
        <s:f>SUM(AA4:AA35)</s:f>
        <s:v>35</s:v>
      </s:c>
      <s:c r="AB37" s="86">
        <s:f>SUM(AB4:AB35)</s:f>
        <s:v>36</s:v>
      </s:c>
      <s:c r="AC37" s="84">
        <s:f>SUM(AC4:AC35)</s:f>
        <s:v>35</s:v>
      </s:c>
      <s:c r="AD37" s="87">
        <s:f>SUM(AD4:AD35)</s:f>
        <s:v>35</s:v>
      </s:c>
      <s:c r="AE37" s="88">
        <s:f>SUM(AE4:AE35)</s:f>
        <s:v>35</s:v>
      </s:c>
      <s:c r="AF37" s="84">
        <s:f>SUM(AF4:AF35)</s:f>
        <s:v>35</s:v>
      </s:c>
      <s:c r="AG37" s="85">
        <s:f>SUM(AG4:AG35)</s:f>
        <s:v>35</s:v>
      </s:c>
      <s:c r="AH37" s="86">
        <s:f>SUM(AH4:AH35)</s:f>
        <s:v>35</s:v>
      </s:c>
      <s:c r="AI37" s="84">
        <s:f>SUM(AI4:AI35)</s:f>
        <s:v>35</s:v>
      </s:c>
      <s:c r="AJ37" s="87">
        <s:f>SUM(AJ4:AJ35)</s:f>
        <s:v>35</s:v>
      </s:c>
      <s:c r="AK37" s="88">
        <s:f>SUM(AK4:AK35)</s:f>
        <s:v>7</s:v>
      </s:c>
      <s:c r="AL37" s="84">
        <s:f>SUM(AL4:AL35)</s:f>
        <s:v>7</s:v>
      </s:c>
      <s:c r="AM37" s="85">
        <s:f>SUM(AM4:AM35)</s:f>
        <s:v>7</s:v>
      </s:c>
      <s:c r="AN37" s="86">
        <s:f>SUM(AN4:AN35)</s:f>
        <s:v>7</s:v>
      </s:c>
      <s:c r="AO37" s="84">
        <s:f>SUM(AO4:AO35)</s:f>
        <s:v>7</s:v>
      </s:c>
      <s:c r="AP37" s="87">
        <s:f>SUM(AP4:AP35)</s:f>
        <s:v>7</s:v>
      </s:c>
      <s:c r="AQ37" s="88">
        <s:f>SUM(AQ4:AQ35)</s:f>
        <s:v>7</s:v>
      </s:c>
      <s:c r="AR37" s="84">
        <s:f>SUM(AR4:AR35)</s:f>
        <s:v>16</s:v>
      </s:c>
      <s:c r="AS37" s="85">
        <s:f>SUM(AS4:AS35)</s:f>
        <s:v>16</s:v>
      </s:c>
      <s:c r="AT37" s="86">
        <s:f>SUM(AT4:AT35)</s:f>
        <s:v>16</s:v>
      </s:c>
      <s:c r="AU37" s="84">
        <s:f>SUM(AU4:AU35)</s:f>
        <s:v>16</s:v>
      </s:c>
      <s:c r="AV37" s="87">
        <s:f>SUM(AV4:AV35)</s:f>
        <s:v>18</s:v>
      </s:c>
      <s:c r="AW37" s="88">
        <s:f>SUM(AW4:AW35)</s:f>
        <s:v>17</s:v>
      </s:c>
      <s:c r="AX37" s="84">
        <s:f>SUM(AX4:AX35)</s:f>
        <s:v>16</s:v>
      </s:c>
      <s:c r="AY37" s="85">
        <s:f>SUM(AY4:AY35)</s:f>
        <s:v>16</s:v>
      </s:c>
      <s:c r="AZ37" s="86">
        <s:f>SUM(AZ4:AZ35)</s:f>
        <s:v>16</s:v>
      </s:c>
      <s:c r="BA37" s="84">
        <s:f>SUM(BA4:BA35)</s:f>
        <s:v>0</s:v>
      </s:c>
      <s:c r="BB37" s="87">
        <s:f>SUM(BB4:BB35)</s:f>
        <s:v>0</s:v>
      </s:c>
      <s:c r="BC37" s="88">
        <s:f>SUM(BC4:BC35)</s:f>
        <s:v>0</s:v>
      </s:c>
      <s:c r="BD37" s="84">
        <s:f>SUM(BD4:BD35)</s:f>
        <s:v>0</s:v>
      </s:c>
      <s:c r="BE37" s="85">
        <s:f>SUM(BE4:BE35)</s:f>
        <s:v>0</s:v>
      </s:c>
      <s:c r="BF37" s="86">
        <s:f>SUM(BF4:BF35)</s:f>
        <s:v>0</s:v>
      </s:c>
      <s:c r="BG37" s="84">
        <s:f>SUM(BG4:BG35)</s:f>
        <s:v>0</s:v>
      </s:c>
      <s:c r="BH37" s="87">
        <s:f>SUM(BH4:BH35)</s:f>
        <s:v>0</s:v>
      </s:c>
      <s:c r="BI37" s="88">
        <s:f>SUM(BI4:BI35)</s:f>
        <s:v>0</s:v>
      </s:c>
      <s:c r="BJ37" s="84">
        <s:f>SUM(BJ4:BJ35)</s:f>
        <s:v>0</s:v>
      </s:c>
      <s:c r="BK37" s="85">
        <s:f>SUM(BK4:BK35)</s:f>
        <s:v>0</s:v>
      </s:c>
      <s:c r="BL37" s="86">
        <s:f>SUM(BL4:BL35)</s:f>
        <s:v>0</s:v>
      </s:c>
      <s:c r="BM37" s="84">
        <s:f>SUM(BM4:BM35)</s:f>
        <s:v>0</s:v>
      </s:c>
      <s:c r="BN37" s="87">
        <s:f>SUM(BN4:BN35)</s:f>
        <s:v>0</s:v>
      </s:c>
      <s:c r="BO37" s="88">
        <s:f>SUM(BO4:BO35)</s:f>
        <s:v>0</s:v>
      </s:c>
      <s:c r="BP37" s="84">
        <s:f>SUM(BP4:BP35)</s:f>
        <s:v>0</s:v>
      </s:c>
      <s:c r="BQ37" s="85">
        <s:f>SUM(BQ4:BQ35)</s:f>
        <s:v>0</s:v>
      </s:c>
      <s:c r="BR37" s="86">
        <s:f>SUM(BR4:BR35)</s:f>
        <s:v>0</s:v>
      </s:c>
      <s:c r="BS37" s="84">
        <s:f>SUM(BS4:BS35)</s:f>
        <s:v>0</s:v>
      </s:c>
      <s:c r="BT37" s="87">
        <s:f>SUM(BT4:BT35)</s:f>
        <s:v>20</s:v>
      </s:c>
      <s:c r="BU37" s="88">
        <s:f>SUM(BU4:BU35)</s:f>
        <s:v>20</s:v>
      </s:c>
      <s:c r="BV37" s="84">
        <s:f>SUM(BV4:BV35)</s:f>
        <s:v>22</s:v>
      </s:c>
      <s:c r="BW37" s="85">
        <s:f>SUM(BW4:BW35)</s:f>
        <s:v>20</s:v>
      </s:c>
      <s:c r="BX37" s="86">
        <s:f>SUM(BX4:BX35)</s:f>
        <s:v>20</s:v>
      </s:c>
      <s:c r="BY37" s="84">
        <s:f>SUM(BY4:BY35)</s:f>
        <s:v>0</s:v>
      </s:c>
      <s:c r="BZ37" s="87">
        <s:f>SUM(BZ4:BZ35)</s:f>
        <s:v>0</s:v>
      </s:c>
      <s:c r="CA37" s="88">
        <s:f>SUM(CA4:CA35)</s:f>
        <s:v>0</s:v>
      </s:c>
      <s:c r="CB37" s="84">
        <s:f>SUM(CB4:CB35)</s:f>
        <s:v>0</s:v>
      </s:c>
      <s:c r="CC37" s="85">
        <s:f>SUM(CC4:CC35)</s:f>
        <s:v>0</s:v>
      </s:c>
      <s:c r="CD37" s="86">
        <s:f>SUM(CD4:CD35)</s:f>
        <s:v>0</s:v>
      </s:c>
      <s:c r="CE37" s="84">
        <s:f>SUM(CE4:CE35)</s:f>
        <s:v>0</s:v>
      </s:c>
      <s:c r="CF37" s="87">
        <s:f>SUM(CF4:CF35)</s:f>
        <s:v>0</s:v>
      </s:c>
      <s:c r="CG37" s="88">
        <s:f>SUM(CG4:CG35)</s:f>
        <s:v>0</s:v>
      </s:c>
      <s:c r="CH37" s="84">
        <s:f>SUM(CH4:CH35)</s:f>
        <s:v>0</s:v>
      </s:c>
      <s:c r="CI37" s="85">
        <s:f>SUM(CI4:CI35)</s:f>
        <s:v>0</s:v>
      </s:c>
      <s:c r="CJ37" s="86">
        <s:f>SUM(CJ4:CJ35)</s:f>
        <s:v>0</s:v>
      </s:c>
      <s:c r="CK37" s="84">
        <s:f>SUM(CK4:CK35)</s:f>
        <s:v>0</s:v>
      </s:c>
      <s:c r="CL37" s="87">
        <s:f>SUM(CL4:CL35)</s:f>
        <s:v>0</s:v>
      </s:c>
      <s:c r="CM37" s="88">
        <s:f>SUM(CM4:CM35)</s:f>
        <s:v>0</s:v>
      </s:c>
      <s:c r="CN37" s="84">
        <s:f>SUM(CN4:CN35)</s:f>
        <s:v>0</s:v>
      </s:c>
      <s:c r="CO37" s="85">
        <s:f>SUM(CO4:CO35)</s:f>
        <s:v>0</s:v>
      </s:c>
      <s:c r="CP37" s="86">
        <s:f>SUM(CP4:CP35)</s:f>
        <s:v>0</s:v>
      </s:c>
      <s:c r="CQ37" s="84">
        <s:f>SUM(CQ4:CQ35)</s:f>
        <s:v>0</s:v>
      </s:c>
      <s:c r="CR37" s="87">
        <s:f>SUM(CR4:CR35)</s:f>
        <s:v>0</s:v>
      </s:c>
      <s:c r="CS37" s="93">
        <s:f>SUM(CS4:CS35)</s:f>
        <s:v>246</s:v>
      </s:c>
      <s:c r="CT37" s="70">
        <s:f>SUM(CT4:CT35)</s:f>
        <s:v>248</s:v>
      </s:c>
      <s:c r="CU37" s="71">
        <s:f>SUM(CU4:CU35)</s:f>
        <s:v>268</s:v>
      </s:c>
      <s:c r="CV37" s="124">
        <s:f>SUM(CW37:CY37)</s:f>
        <s:v>691520</s:v>
      </s:c>
      <s:c r="CW37" s="110">
        <s:f>SUM(CW4:CW35)</s:f>
        <s:v>129980</s:v>
      </s:c>
      <s:c r="CX37" s="110">
        <s:f>SUM(CX4:CX35)</s:f>
        <s:v>104920</s:v>
      </s:c>
      <s:c r="CY37" s="110">
        <s:f>SUM(CY4:CY35)</s:f>
        <s:v>456620</s:v>
      </s:c>
    </s:row>
    <s:row r="38" ht="60">
      <s:c r="B38" s="73" t="s">
        <s:v>31</s:v>
      </s:c>
      <s:c r="D38" s="95">
        <s:f>SUMIFS(D4:D35,$C$4:$C$35,"Да")</s:f>
        <s:v>0</s:v>
      </s:c>
      <s:c r="E38" s="1">
        <s:f>SUMIFS(E4:E35,$C$4:$C$35,"Да")</s:f>
        <s:v>0</s:v>
      </s:c>
      <s:c r="F38" s="96">
        <s:f>SUMIFS(F4:F35,$C$4:$C$35,"Да")</s:f>
        <s:v>0</s:v>
      </s:c>
      <s:c r="G38" s="91">
        <s:f>SUMIFS(G4:G35,$C$4:$C$35,"Да")</s:f>
        <s:v>0</s:v>
      </s:c>
      <s:c r="H38" s="1">
        <s:f>SUMIFS(H4:H35,$C$4:$C$35,"Да")</s:f>
        <s:v>0</s:v>
      </s:c>
      <s:c r="I38" s="90">
        <s:f>SUMIFS(I4:I35,$C$4:$C$35,"Да")</s:f>
        <s:v>0</s:v>
      </s:c>
      <s:c r="J38" s="95">
        <s:f>SUMIFS(J4:J35,$C$4:$C$35,"Да")</s:f>
        <s:v>0</s:v>
      </s:c>
      <s:c r="K38" s="1">
        <s:f>SUMIFS(K4:K35,$C$4:$C$35,"Да")</s:f>
        <s:v>0</s:v>
      </s:c>
      <s:c r="L38" s="96">
        <s:f>SUMIFS(L4:L35,$C$4:$C$35,"Да")</s:f>
        <s:v>0</s:v>
      </s:c>
      <s:c r="M38" s="91">
        <s:f>SUMIFS(M4:M35,$C$4:$C$35,"Да")</s:f>
        <s:v>0</s:v>
      </s:c>
      <s:c r="N38" s="1">
        <s:f>SUMIFS(N4:N35,$C$4:$C$35,"Да")</s:f>
        <s:v>0</s:v>
      </s:c>
      <s:c r="O38" s="90">
        <s:f>SUMIFS(O4:O35,$C$4:$C$35,"Да")</s:f>
        <s:v>0</s:v>
      </s:c>
      <s:c r="P38" s="95">
        <s:f>SUMIFS(P4:P35,$C$4:$C$35,"Да")</s:f>
        <s:v>0</s:v>
      </s:c>
      <s:c r="Q38" s="1">
        <s:f>SUMIFS(Q4:Q35,$C$4:$C$35,"Да")</s:f>
        <s:v>0</s:v>
      </s:c>
      <s:c r="R38" s="96">
        <s:f>SUMIFS(R4:R35,$C$4:$C$35,"Да")</s:f>
        <s:v>0</s:v>
      </s:c>
      <s:c r="S38" s="91">
        <s:f>SUMIFS(S4:S35,$C$4:$C$35,"Да")</s:f>
        <s:v>0</s:v>
      </s:c>
      <s:c r="T38" s="1">
        <s:f>SUMIFS(T4:T35,$C$4:$C$35,"Да")</s:f>
        <s:v>0</s:v>
      </s:c>
      <s:c r="U38" s="90">
        <s:f>SUMIFS(U4:U35,$C$4:$C$35,"Да")</s:f>
        <s:v>0</s:v>
      </s:c>
      <s:c r="V38" s="95">
        <s:f>SUMIFS(V4:V35,$C$4:$C$35,"Да")</s:f>
        <s:v>0</s:v>
      </s:c>
      <s:c r="W38" s="1">
        <s:f>SUMIFS(W4:W35,$C$4:$C$35,"Да")</s:f>
        <s:v>0</s:v>
      </s:c>
      <s:c r="X38" s="96">
        <s:f>SUMIFS(X4:X35,$C$4:$C$35,"Да")</s:f>
        <s:v>0</s:v>
      </s:c>
      <s:c r="Y38" s="91">
        <s:f>SUMIFS(Y4:Y35,$C$4:$C$35,"Да")</s:f>
        <s:v>0</s:v>
      </s:c>
      <s:c r="Z38" s="1">
        <s:f>SUMIFS(Z4:Z35,$C$4:$C$35,"Да")</s:f>
        <s:v>0</s:v>
      </s:c>
      <s:c r="AA38" s="90">
        <s:f>SUMIFS(AA4:AA35,$C$4:$C$35,"Да")</s:f>
        <s:v>0</s:v>
      </s:c>
      <s:c r="AB38" s="95">
        <s:f>SUMIFS(AB4:AB35,$C$4:$C$35,"Да")</s:f>
        <s:v>0</s:v>
      </s:c>
      <s:c r="AC38" s="1">
        <s:f>SUMIFS(AC4:AC35,$C$4:$C$35,"Да")</s:f>
        <s:v>0</s:v>
      </s:c>
      <s:c r="AD38" s="96">
        <s:f>SUMIFS(AD4:AD35,$C$4:$C$35,"Да")</s:f>
        <s:v>0</s:v>
      </s:c>
      <s:c r="AE38" s="91">
        <s:f>SUMIFS(AE4:AE35,$C$4:$C$35,"Да")</s:f>
        <s:v>0</s:v>
      </s:c>
      <s:c r="AF38" s="1">
        <s:f>SUMIFS(AF4:AF35,$C$4:$C$35,"Да")</s:f>
        <s:v>0</s:v>
      </s:c>
      <s:c r="AG38" s="90">
        <s:f>SUMIFS(AG4:AG35,$C$4:$C$35,"Да")</s:f>
        <s:v>0</s:v>
      </s:c>
      <s:c r="AH38" s="95">
        <s:f>SUMIFS(AH4:AH35,$C$4:$C$35,"Да")</s:f>
        <s:v>0</s:v>
      </s:c>
      <s:c r="AI38" s="1">
        <s:f>SUMIFS(AI4:AI35,$C$4:$C$35,"Да")</s:f>
        <s:v>0</s:v>
      </s:c>
      <s:c r="AJ38" s="96">
        <s:f>SUMIFS(AJ4:AJ35,$C$4:$C$35,"Да")</s:f>
        <s:v>0</s:v>
      </s:c>
      <s:c r="AK38" s="91">
        <s:f>SUMIFS(AK4:AK35,$C$4:$C$35,"Да")</s:f>
        <s:v>0</s:v>
      </s:c>
      <s:c r="AL38" s="1">
        <s:f>SUMIFS(AL4:AL35,$C$4:$C$35,"Да")</s:f>
        <s:v>0</s:v>
      </s:c>
      <s:c r="AM38" s="90">
        <s:f>SUMIFS(AM4:AM35,$C$4:$C$35,"Да")</s:f>
        <s:v>0</s:v>
      </s:c>
      <s:c r="AN38" s="95">
        <s:f>SUMIFS(AN4:AN35,$C$4:$C$35,"Да")</s:f>
        <s:v>0</s:v>
      </s:c>
      <s:c r="AO38" s="1">
        <s:f>SUMIFS(AO4:AO35,$C$4:$C$35,"Да")</s:f>
        <s:v>0</s:v>
      </s:c>
      <s:c r="AP38" s="96">
        <s:f>SUMIFS(AP4:AP35,$C$4:$C$35,"Да")</s:f>
        <s:v>0</s:v>
      </s:c>
      <s:c r="AQ38" s="91">
        <s:f>SUMIFS(AQ4:AQ35,$C$4:$C$35,"Да")</s:f>
        <s:v>0</s:v>
      </s:c>
      <s:c r="AR38" s="1">
        <s:f>SUMIFS(AR4:AR35,$C$4:$C$35,"Да")</s:f>
        <s:v>0</s:v>
      </s:c>
      <s:c r="AS38" s="90">
        <s:f>SUMIFS(AS4:AS35,$C$4:$C$35,"Да")</s:f>
        <s:v>0</s:v>
      </s:c>
      <s:c r="AT38" s="95">
        <s:f>SUMIFS(AT4:AT35,$C$4:$C$35,"Да")</s:f>
        <s:v>0</s:v>
      </s:c>
      <s:c r="AU38" s="1">
        <s:f>SUMIFS(AU4:AU35,$C$4:$C$35,"Да")</s:f>
        <s:v>0</s:v>
      </s:c>
      <s:c r="AV38" s="96">
        <s:f>SUMIFS(AV4:AV35,$C$4:$C$35,"Да")</s:f>
        <s:v>0</s:v>
      </s:c>
      <s:c r="AW38" s="91">
        <s:f>SUMIFS(AW4:AW35,$C$4:$C$35,"Да")</s:f>
        <s:v>0</s:v>
      </s:c>
      <s:c r="AX38" s="1">
        <s:f>SUMIFS(AX4:AX35,$C$4:$C$35,"Да")</s:f>
        <s:v>0</s:v>
      </s:c>
      <s:c r="AY38" s="90">
        <s:f>SUMIFS(AY4:AY35,$C$4:$C$35,"Да")</s:f>
        <s:v>0</s:v>
      </s:c>
      <s:c r="AZ38" s="95">
        <s:f>SUMIFS(AZ4:AZ35,$C$4:$C$35,"Да")</s:f>
        <s:v>0</s:v>
      </s:c>
      <s:c r="BA38" s="1">
        <s:f>SUMIFS(BA4:BA35,$C$4:$C$35,"Да")</s:f>
        <s:v>0</s:v>
      </s:c>
      <s:c r="BB38" s="96">
        <s:f>SUMIFS(BB4:BB35,$C$4:$C$35,"Да")</s:f>
        <s:v>0</s:v>
      </s:c>
      <s:c r="BC38" s="91">
        <s:f>SUMIFS(BC4:BC35,$C$4:$C$35,"Да")</s:f>
        <s:v>0</s:v>
      </s:c>
      <s:c r="BD38" s="1">
        <s:f>SUMIFS(BD4:BD35,$C$4:$C$35,"Да")</s:f>
        <s:v>0</s:v>
      </s:c>
      <s:c r="BE38" s="90">
        <s:f>SUMIFS(BE4:BE35,$C$4:$C$35,"Да")</s:f>
        <s:v>0</s:v>
      </s:c>
      <s:c r="BF38" s="95">
        <s:f>SUMIFS(BF4:BF35,$C$4:$C$35,"Да")</s:f>
        <s:v>0</s:v>
      </s:c>
      <s:c r="BG38" s="1">
        <s:f>SUMIFS(BG4:BG35,$C$4:$C$35,"Да")</s:f>
        <s:v>0</s:v>
      </s:c>
      <s:c r="BH38" s="96">
        <s:f>SUMIFS(BH4:BH35,$C$4:$C$35,"Да")</s:f>
        <s:v>0</s:v>
      </s:c>
      <s:c r="BI38" s="91">
        <s:f>SUMIFS(BI4:BI35,$C$4:$C$35,"Да")</s:f>
        <s:v>0</s:v>
      </s:c>
      <s:c r="BJ38" s="1">
        <s:f>SUMIFS(BJ4:BJ35,$C$4:$C$35,"Да")</s:f>
        <s:v>0</s:v>
      </s:c>
      <s:c r="BK38" s="90">
        <s:f>SUMIFS(BK4:BK35,$C$4:$C$35,"Да")</s:f>
        <s:v>0</s:v>
      </s:c>
      <s:c r="BL38" s="95">
        <s:f>SUMIFS(BL4:BL35,$C$4:$C$35,"Да")</s:f>
        <s:v>0</s:v>
      </s:c>
      <s:c r="BM38" s="1">
        <s:f>SUMIFS(BM4:BM35,$C$4:$C$35,"Да")</s:f>
        <s:v>0</s:v>
      </s:c>
      <s:c r="BN38" s="96">
        <s:f>SUMIFS(BN4:BN35,$C$4:$C$35,"Да")</s:f>
        <s:v>0</s:v>
      </s:c>
      <s:c r="BO38" s="91">
        <s:f>SUMIFS(BO4:BO35,$C$4:$C$35,"Да")</s:f>
        <s:v>0</s:v>
      </s:c>
      <s:c r="BP38" s="1">
        <s:f>SUMIFS(BP4:BP35,$C$4:$C$35,"Да")</s:f>
        <s:v>0</s:v>
      </s:c>
      <s:c r="BQ38" s="90">
        <s:f>SUMIFS(BQ4:BQ35,$C$4:$C$35,"Да")</s:f>
        <s:v>0</s:v>
      </s:c>
      <s:c r="BR38" s="95">
        <s:f>SUMIFS(BR4:BR35,$C$4:$C$35,"Да")</s:f>
        <s:v>0</s:v>
      </s:c>
      <s:c r="BS38" s="1">
        <s:f>SUMIFS(BS4:BS35,$C$4:$C$35,"Да")</s:f>
        <s:v>0</s:v>
      </s:c>
      <s:c r="BT38" s="96">
        <s:f>SUMIFS(BT4:BT35,$C$4:$C$35,"Да")</s:f>
        <s:v>20</s:v>
      </s:c>
      <s:c r="BU38" s="91">
        <s:f>SUMIFS(BU4:BU35,$C$4:$C$35,"Да")</s:f>
        <s:v>20</s:v>
      </s:c>
      <s:c r="BV38" s="1">
        <s:f>SUMIFS(BV4:BV35,$C$4:$C$35,"Да")</s:f>
        <s:v>20</s:v>
      </s:c>
      <s:c r="BW38" s="90">
        <s:f>SUMIFS(BW4:BW35,$C$4:$C$35,"Да")</s:f>
        <s:v>20</s:v>
      </s:c>
      <s:c r="BX38" s="95">
        <s:f>SUMIFS(BX4:BX35,$C$4:$C$35,"Да")</s:f>
        <s:v>20</s:v>
      </s:c>
      <s:c r="BY38" s="1">
        <s:f>SUMIFS(BY4:BY35,$C$4:$C$35,"Да")</s:f>
        <s:v>0</s:v>
      </s:c>
      <s:c r="BZ38" s="96">
        <s:f>SUMIFS(BZ4:BZ35,$C$4:$C$35,"Да")</s:f>
        <s:v>0</s:v>
      </s:c>
      <s:c r="CA38" s="91">
        <s:f>SUMIFS(CA4:CA35,$C$4:$C$35,"Да")</s:f>
        <s:v>0</s:v>
      </s:c>
      <s:c r="CB38" s="1">
        <s:f>SUMIFS(CB4:CB35,$C$4:$C$35,"Да")</s:f>
        <s:v>0</s:v>
      </s:c>
      <s:c r="CC38" s="90">
        <s:f>SUMIFS(CC4:CC35,$C$4:$C$35,"Да")</s:f>
        <s:v>0</s:v>
      </s:c>
      <s:c r="CD38" s="95">
        <s:f>SUMIFS(CD4:CD35,$C$4:$C$35,"Да")</s:f>
        <s:v>0</s:v>
      </s:c>
      <s:c r="CE38" s="1">
        <s:f>SUMIFS(CE4:CE35,$C$4:$C$35,"Да")</s:f>
        <s:v>0</s:v>
      </s:c>
      <s:c r="CF38" s="96">
        <s:f>SUMIFS(CF4:CF35,$C$4:$C$35,"Да")</s:f>
        <s:v>0</s:v>
      </s:c>
      <s:c r="CG38" s="91">
        <s:f>SUMIFS(CG4:CG35,$C$4:$C$35,"Да")</s:f>
        <s:v>0</s:v>
      </s:c>
      <s:c r="CH38" s="1">
        <s:f>SUMIFS(CH4:CH35,$C$4:$C$35,"Да")</s:f>
        <s:v>0</s:v>
      </s:c>
      <s:c r="CI38" s="90">
        <s:f>SUMIFS(CI4:CI35,$C$4:$C$35,"Да")</s:f>
        <s:v>0</s:v>
      </s:c>
      <s:c r="CJ38" s="95">
        <s:f>SUMIFS(CJ4:CJ35,$C$4:$C$35,"Да")</s:f>
        <s:v>0</s:v>
      </s:c>
      <s:c r="CK38" s="1">
        <s:f>SUMIFS(CK4:CK35,$C$4:$C$35,"Да")</s:f>
        <s:v>0</s:v>
      </s:c>
      <s:c r="CL38" s="96">
        <s:f>SUMIFS(CL4:CL35,$C$4:$C$35,"Да")</s:f>
        <s:v>0</s:v>
      </s:c>
      <s:c r="CM38" s="91">
        <s:f>SUMIFS(CM4:CM35,$C$4:$C$35,"Да")</s:f>
        <s:v>0</s:v>
      </s:c>
      <s:c r="CN38" s="1">
        <s:f>SUMIFS(CN4:CN35,$C$4:$C$35,"Да")</s:f>
        <s:v>0</s:v>
      </s:c>
      <s:c r="CO38" s="90">
        <s:f>SUMIFS(CO4:CO35,$C$4:$C$35,"Да")</s:f>
        <s:v>0</s:v>
      </s:c>
      <s:c r="CP38" s="95">
        <s:f>SUMIFS(CP4:CP35,$C$4:$C$35,"Да")</s:f>
        <s:v>0</s:v>
      </s:c>
      <s:c r="CQ38" s="1">
        <s:f>SUMIFS(CQ4:CQ35,$C$4:$C$35,"Да")</s:f>
        <s:v>0</s:v>
      </s:c>
      <s:c r="CR38" s="96">
        <s:f>SUMIFS(CR4:CR35,$C$4:$C$35,"Да")</s:f>
        <s:v>0</s:v>
      </s:c>
      <s:c r="CS38" s="83" t="s">
        <s:v>23</s:v>
      </s:c>
      <s:c r="CT38" s="72" t="s">
        <s:v>24</s:v>
      </s:c>
      <s:c r="CU38" s="72" t="s">
        <s:v>25</s:v>
      </s:c>
      <s:c r="CV38" s="109" t="s">
        <s:v>39</s:v>
      </s:c>
      <s:c r="CW38" s="111" t="s">
        <s:v>40</s:v>
      </s:c>
      <s:c r="CX38" s="111" t="s">
        <s:v>26</s:v>
      </s:c>
      <s:c r="CY38" s="111" t="s">
        <s:v>29</s:v>
      </s:c>
      <s:c r="DB38" s="128">
        <s:f>CW42-CW37</s:f>
        <s:v>0</s:v>
      </s:c>
      <s:c r="DC38" s="128">
        <s:f>CY43-CY37</s:f>
        <s:v>0</s:v>
      </s:c>
    </s:row>
    <s:row r="39" ht="24.75">
      <s:c r="B39" s="73" t="s">
        <s:v>32</s:v>
      </s:c>
      <s:c r="D39" s="95">
        <s:f>SUMIFS(D4:D35,$C$4:$C$35,"Нет")</s:f>
        <s:v>0</s:v>
      </s:c>
      <s:c r="E39" s="1">
        <s:f>SUMIFS(E4:E35,$C$4:$C$35,"Нет")</s:f>
        <s:v>0</s:v>
      </s:c>
      <s:c r="F39" s="96">
        <s:f>SUMIFS(F4:F35,$C$4:$C$35,"Нет")</s:f>
        <s:v>0</s:v>
      </s:c>
      <s:c r="G39" s="91">
        <s:f>SUMIFS(G4:G35,$C$4:$C$35,"Нет")</s:f>
        <s:v>0</s:v>
      </s:c>
      <s:c r="H39" s="1">
        <s:f>SUMIFS(H4:H35,$C$4:$C$35,"Нет")</s:f>
        <s:v>0</s:v>
      </s:c>
      <s:c r="I39" s="90">
        <s:f>SUMIFS(I4:I35,$C$4:$C$35,"Нет")</s:f>
        <s:v>0</s:v>
      </s:c>
      <s:c r="J39" s="95">
        <s:f>SUMIFS(J4:J35,$C$4:$C$35,"Нет")</s:f>
        <s:v>0</s:v>
      </s:c>
      <s:c r="K39" s="1">
        <s:f>SUMIFS(K4:K35,$C$4:$C$35,"Нет")</s:f>
        <s:v>8</s:v>
      </s:c>
      <s:c r="L39" s="96">
        <s:f>SUMIFS(L4:L35,$C$4:$C$35,"Нет")</s:f>
        <s:v>8</s:v>
      </s:c>
      <s:c r="M39" s="91">
        <s:f>SUMIFS(M4:M35,$C$4:$C$35,"Нет")</s:f>
        <s:v>8</s:v>
      </s:c>
      <s:c r="N39" s="1">
        <s:f>SUMIFS(N4:N35,$C$4:$C$35,"Нет")</s:f>
        <s:v>8</s:v>
      </s:c>
      <s:c r="O39" s="90">
        <s:f>SUMIFS(O4:O35,$C$4:$C$35,"Нет")</s:f>
        <s:v>8</s:v>
      </s:c>
      <s:c r="P39" s="95">
        <s:f>SUMIFS(P4:P35,$C$4:$C$35,"Нет")</s:f>
        <s:v>8</s:v>
      </s:c>
      <s:c r="Q39" s="1">
        <s:f>SUMIFS(Q4:Q35,$C$4:$C$35,"Нет")</s:f>
        <s:v>8</s:v>
      </s:c>
      <s:c r="R39" s="96">
        <s:f>SUMIFS(R4:R35,$C$4:$C$35,"Нет")</s:f>
        <s:v>8</s:v>
      </s:c>
      <s:c r="S39" s="91">
        <s:f>SUMIFS(S4:S35,$C$4:$C$35,"Нет")</s:f>
        <s:v>8</s:v>
      </s:c>
      <s:c r="T39" s="1">
        <s:f>SUMIFS(T4:T35,$C$4:$C$35,"Нет")</s:f>
        <s:v>0</s:v>
      </s:c>
      <s:c r="U39" s="90">
        <s:f>SUMIFS(U4:U35,$C$4:$C$35,"Нет")</s:f>
        <s:v>0</s:v>
      </s:c>
      <s:c r="V39" s="95">
        <s:f>SUMIFS(V4:V35,$C$4:$C$35,"Нет")</s:f>
        <s:v>0</s:v>
      </s:c>
      <s:c r="W39" s="1">
        <s:f>SUMIFS(W4:W35,$C$4:$C$35,"Нет")</s:f>
        <s:v>0</s:v>
      </s:c>
      <s:c r="X39" s="96">
        <s:f>SUMIFS(X4:X35,$C$4:$C$35,"Нет")</s:f>
        <s:v>0</s:v>
      </s:c>
      <s:c r="Y39" s="91">
        <s:f>SUMIFS(Y4:Y35,$C$4:$C$35,"Нет")</s:f>
        <s:v>0</s:v>
      </s:c>
      <s:c r="Z39" s="1">
        <s:f>SUMIFS(Z4:Z35,$C$4:$C$35,"Нет")</s:f>
        <s:v>0</s:v>
      </s:c>
      <s:c r="AA39" s="90">
        <s:f>SUMIFS(AA4:AA35,$C$4:$C$35,"Нет")</s:f>
        <s:v>0</s:v>
      </s:c>
      <s:c r="AB39" s="95">
        <s:f>SUMIFS(AB4:AB35,$C$4:$C$35,"Нет")</s:f>
        <s:v>1</s:v>
      </s:c>
      <s:c r="AC39" s="1">
        <s:f>SUMIFS(AC4:AC35,$C$4:$C$35,"Нет")</s:f>
        <s:v>0</s:v>
      </s:c>
      <s:c r="AD39" s="96">
        <s:f>SUMIFS(AD4:AD35,$C$4:$C$35,"Нет")</s:f>
        <s:v>0</s:v>
      </s:c>
      <s:c r="AE39" s="91">
        <s:f>SUMIFS(AE4:AE35,$C$4:$C$35,"Нет")</s:f>
        <s:v>0</s:v>
      </s:c>
      <s:c r="AF39" s="1">
        <s:f>SUMIFS(AF4:AF35,$C$4:$C$35,"Нет")</s:f>
        <s:v>0</s:v>
      </s:c>
      <s:c r="AG39" s="90">
        <s:f>SUMIFS(AG4:AG35,$C$4:$C$35,"Нет")</s:f>
        <s:v>0</s:v>
      </s:c>
      <s:c r="AH39" s="95">
        <s:f>SUMIFS(AH4:AH35,$C$4:$C$35,"Нет")</s:f>
        <s:v>0</s:v>
      </s:c>
      <s:c r="AI39" s="1">
        <s:f>SUMIFS(AI4:AI35,$C$4:$C$35,"Нет")</s:f>
        <s:v>0</s:v>
      </s:c>
      <s:c r="AJ39" s="96">
        <s:f>SUMIFS(AJ4:AJ35,$C$4:$C$35,"Нет")</s:f>
        <s:v>0</s:v>
      </s:c>
      <s:c r="AK39" s="91">
        <s:f>SUMIFS(AK4:AK35,$C$4:$C$35,"Нет")</s:f>
        <s:v>0</s:v>
      </s:c>
      <s:c r="AL39" s="1">
        <s:f>SUMIFS(AL4:AL35,$C$4:$C$35,"Нет")</s:f>
        <s:v>0</s:v>
      </s:c>
      <s:c r="AM39" s="90">
        <s:f>SUMIFS(AM4:AM35,$C$4:$C$35,"Нет")</s:f>
        <s:v>0</s:v>
      </s:c>
      <s:c r="AN39" s="95">
        <s:f>SUMIFS(AN4:AN35,$C$4:$C$35,"Нет")</s:f>
        <s:v>0</s:v>
      </s:c>
      <s:c r="AO39" s="1">
        <s:f>SUMIFS(AO4:AO35,$C$4:$C$35,"Нет")</s:f>
        <s:v>0</s:v>
      </s:c>
      <s:c r="AP39" s="96">
        <s:f>SUMIFS(AP4:AP35,$C$4:$C$35,"Нет")</s:f>
        <s:v>0</s:v>
      </s:c>
      <s:c r="AQ39" s="91">
        <s:f>SUMIFS(AQ4:AQ35,$C$4:$C$35,"Нет")</s:f>
        <s:v>0</s:v>
      </s:c>
      <s:c r="AR39" s="1">
        <s:f>SUMIFS(AR4:AR35,$C$4:$C$35,"Нет")</s:f>
        <s:v>9.18</s:v>
      </s:c>
      <s:c r="AS39" s="90">
        <s:f>SUMIFS(AS4:AS35,$C$4:$C$35,"Нет")</s:f>
        <s:v>8</s:v>
      </s:c>
      <s:c r="AT39" s="95">
        <s:f>SUMIFS(AT4:AT35,$C$4:$C$35,"Нет")</s:f>
        <s:v>8</s:v>
      </s:c>
      <s:c r="AU39" s="1">
        <s:f>SUMIFS(AU4:AU35,$C$4:$C$35,"Нет")</s:f>
        <s:v>8</s:v>
      </s:c>
      <s:c r="AV39" s="96">
        <s:f>SUMIFS(AV4:AV35,$C$4:$C$35,"Нет")</s:f>
        <s:v>8</s:v>
      </s:c>
      <s:c r="AW39" s="91">
        <s:f>SUMIFS(AW4:AW35,$C$4:$C$35,"Нет")</s:f>
        <s:v>9</s:v>
      </s:c>
      <s:c r="AX39" s="1">
        <s:f>SUMIFS(AX4:AX35,$C$4:$C$35,"Нет")</s:f>
        <s:v>8</s:v>
      </s:c>
      <s:c r="AY39" s="90">
        <s:f>SUMIFS(AY4:AY35,$C$4:$C$35,"Нет")</s:f>
        <s:v>8</s:v>
      </s:c>
      <s:c r="AZ39" s="95">
        <s:f>SUMIFS(AZ4:AZ35,$C$4:$C$35,"Нет")</s:f>
        <s:v>8</s:v>
      </s:c>
      <s:c r="BA39" s="1">
        <s:f>SUMIFS(BA4:BA35,$C$4:$C$35,"Нет")</s:f>
        <s:v>0</s:v>
      </s:c>
      <s:c r="BB39" s="96">
        <s:f>SUMIFS(BB4:BB35,$C$4:$C$35,"Нет")</s:f>
        <s:v>0</s:v>
      </s:c>
      <s:c r="BC39" s="91">
        <s:f>SUMIFS(BC4:BC35,$C$4:$C$35,"Нет")</s:f>
        <s:v>0</s:v>
      </s:c>
      <s:c r="BD39" s="1">
        <s:f>SUMIFS(BD4:BD35,$C$4:$C$35,"Нет")</s:f>
        <s:v>0</s:v>
      </s:c>
      <s:c r="BE39" s="90">
        <s:f>SUMIFS(BE4:BE35,$C$4:$C$35,"Нет")</s:f>
        <s:v>0</s:v>
      </s:c>
      <s:c r="BF39" s="95">
        <s:f>SUMIFS(BF4:BF35,$C$4:$C$35,"Нет")</s:f>
        <s:v>0</s:v>
      </s:c>
      <s:c r="BG39" s="1">
        <s:f>SUMIFS(BG4:BG35,$C$4:$C$35,"Нет")</s:f>
        <s:v>0</s:v>
      </s:c>
      <s:c r="BH39" s="96">
        <s:f>SUMIFS(BH4:BH35,$C$4:$C$35,"Нет")</s:f>
        <s:v>0</s:v>
      </s:c>
      <s:c r="BI39" s="91">
        <s:f>SUMIFS(BI4:BI35,$C$4:$C$35,"Нет")</s:f>
        <s:v>0</s:v>
      </s:c>
      <s:c r="BJ39" s="1">
        <s:f>SUMIFS(BJ4:BJ35,$C$4:$C$35,"Нет")</s:f>
        <s:v>0</s:v>
      </s:c>
      <s:c r="BK39" s="90">
        <s:f>SUMIFS(BK4:BK35,$C$4:$C$35,"Нет")</s:f>
        <s:v>0</s:v>
      </s:c>
      <s:c r="BL39" s="95">
        <s:f>SUMIFS(BL4:BL35,$C$4:$C$35,"Нет")</s:f>
        <s:v>0</s:v>
      </s:c>
      <s:c r="BM39" s="1">
        <s:f>SUMIFS(BM4:BM35,$C$4:$C$35,"Нет")</s:f>
        <s:v>0</s:v>
      </s:c>
      <s:c r="BN39" s="96">
        <s:f>SUMIFS(BN4:BN35,$C$4:$C$35,"Нет")</s:f>
        <s:v>0</s:v>
      </s:c>
      <s:c r="BO39" s="91">
        <s:f>SUMIFS(BO4:BO35,$C$4:$C$35,"Нет")</s:f>
        <s:v>0</s:v>
      </s:c>
      <s:c r="BP39" s="1">
        <s:f>SUMIFS(BP4:BP35,$C$4:$C$35,"Нет")</s:f>
        <s:v>0</s:v>
      </s:c>
      <s:c r="BQ39" s="90">
        <s:f>SUMIFS(BQ4:BQ35,$C$4:$C$35,"Нет")</s:f>
        <s:v>0</s:v>
      </s:c>
      <s:c r="BR39" s="95">
        <s:f>SUMIFS(BR4:BR35,$C$4:$C$35,"Нет")</s:f>
        <s:v>0</s:v>
      </s:c>
      <s:c r="BS39" s="1">
        <s:f>SUMIFS(BS4:BS35,$C$4:$C$35,"Нет")</s:f>
        <s:v>0</s:v>
      </s:c>
      <s:c r="BT39" s="96">
        <s:f>SUMIFS(BT4:BT35,$C$4:$C$35,"Нет")</s:f>
        <s:v>0</s:v>
      </s:c>
      <s:c r="BU39" s="91">
        <s:f>SUMIFS(BU4:BU35,$C$4:$C$35,"Нет")</s:f>
        <s:v>0</s:v>
      </s:c>
      <s:c r="BV39" s="1">
        <s:f>SUMIFS(BV4:BV35,$C$4:$C$35,"Нет")</s:f>
        <s:v>0</s:v>
      </s:c>
      <s:c r="BW39" s="90">
        <s:f>SUMIFS(BW4:BW35,$C$4:$C$35,"Нет")</s:f>
        <s:v>0</s:v>
      </s:c>
      <s:c r="BX39" s="95">
        <s:f>SUMIFS(BX4:BX35,$C$4:$C$35,"Нет")</s:f>
        <s:v>0</s:v>
      </s:c>
      <s:c r="BY39" s="1">
        <s:f>SUMIFS(BY4:BY35,$C$4:$C$35,"Нет")</s:f>
        <s:v>0</s:v>
      </s:c>
      <s:c r="BZ39" s="96">
        <s:f>SUMIFS(BZ4:BZ35,$C$4:$C$35,"Нет")</s:f>
        <s:v>0</s:v>
      </s:c>
      <s:c r="CA39" s="91">
        <s:f>SUMIFS(CA4:CA35,$C$4:$C$35,"Нет")</s:f>
        <s:v>0</s:v>
      </s:c>
      <s:c r="CB39" s="1">
        <s:f>SUMIFS(CB4:CB35,$C$4:$C$35,"Нет")</s:f>
        <s:v>0</s:v>
      </s:c>
      <s:c r="CC39" s="90">
        <s:f>SUMIFS(CC4:CC35,$C$4:$C$35,"Нет")</s:f>
        <s:v>0</s:v>
      </s:c>
      <s:c r="CD39" s="95">
        <s:f>SUMIFS(CD4:CD35,$C$4:$C$35,"Нет")</s:f>
        <s:v>0</s:v>
      </s:c>
      <s:c r="CE39" s="1">
        <s:f>SUMIFS(CE4:CE35,$C$4:$C$35,"Нет")</s:f>
        <s:v>0</s:v>
      </s:c>
      <s:c r="CF39" s="96">
        <s:f>SUMIFS(CF4:CF35,$C$4:$C$35,"Нет")</s:f>
        <s:v>0</s:v>
      </s:c>
      <s:c r="CG39" s="91">
        <s:f>SUMIFS(CG4:CG35,$C$4:$C$35,"Нет")</s:f>
        <s:v>0</s:v>
      </s:c>
      <s:c r="CH39" s="1">
        <s:f>SUMIFS(CH4:CH35,$C$4:$C$35,"Нет")</s:f>
        <s:v>0</s:v>
      </s:c>
      <s:c r="CI39" s="90">
        <s:f>SUMIFS(CI4:CI35,$C$4:$C$35,"Нет")</s:f>
        <s:v>0</s:v>
      </s:c>
      <s:c r="CJ39" s="95">
        <s:f>SUMIFS(CJ4:CJ35,$C$4:$C$35,"Нет")</s:f>
        <s:v>0</s:v>
      </s:c>
      <s:c r="CK39" s="1">
        <s:f>SUMIFS(CK4:CK35,$C$4:$C$35,"Нет")</s:f>
        <s:v>0</s:v>
      </s:c>
      <s:c r="CL39" s="96">
        <s:f>SUMIFS(CL4:CL35,$C$4:$C$35,"Нет")</s:f>
        <s:v>0</s:v>
      </s:c>
      <s:c r="CM39" s="91">
        <s:f>SUMIFS(CM4:CM35,$C$4:$C$35,"Нет")</s:f>
        <s:v>0</s:v>
      </s:c>
      <s:c r="CN39" s="1">
        <s:f>SUMIFS(CN4:CN35,$C$4:$C$35,"Нет")</s:f>
        <s:v>0</s:v>
      </s:c>
      <s:c r="CO39" s="90">
        <s:f>SUMIFS(CO4:CO35,$C$4:$C$35,"Нет")</s:f>
        <s:v>0</s:v>
      </s:c>
      <s:c r="CP39" s="95">
        <s:f>SUMIFS(CP4:CP35,$C$4:$C$35,"Нет")</s:f>
        <s:v>0</s:v>
      </s:c>
      <s:c r="CQ39" s="1">
        <s:f>SUMIFS(CQ4:CQ35,$C$4:$C$35,"Нет")</s:f>
        <s:v>0</s:v>
      </s:c>
      <s:c r="CR39" s="96">
        <s:f>SUMIFS(CR4:CR35,$C$4:$C$35,"Нет")</s:f>
        <s:v>0</s:v>
      </s:c>
      <s:c r="CW39" s="114"/>
      <s:c r="CX39" s="114"/>
      <s:c r="CY39" s="112"/>
    </s:row>
    <s:row r="40" ht="24.75">
      <s:c r="B40" s="73" t="s">
        <s:v>33</s:v>
      </s:c>
      <s:c r="D40" s="99">
        <s:f>SUMIFS(D4:D35,$C$4:$C$35,"Налич")</s:f>
        <s:v>0</s:v>
      </s:c>
      <s:c r="E40" s="100">
        <s:f>SUMIFS(E4:E35,$C$4:$C$35,"Налич")</s:f>
        <s:v>0</s:v>
      </s:c>
      <s:c r="F40" s="101">
        <s:f>SUMIFS(F4:F35,$C$4:$C$35,"Налич")</s:f>
        <s:v>0</s:v>
      </s:c>
      <s:c r="G40" s="102">
        <s:f>SUMIFS(G4:G35,$C$4:$C$35,"Налич")</s:f>
        <s:v>0</s:v>
      </s:c>
      <s:c r="H40" s="100">
        <s:f>SUMIFS(H4:H35,$C$4:$C$35,"Налич")</s:f>
        <s:v>0</s:v>
      </s:c>
      <s:c r="I40" s="103">
        <s:f>SUMIFS(I4:I35,$C$4:$C$35,"Налич")</s:f>
        <s:v>0</s:v>
      </s:c>
      <s:c r="J40" s="99">
        <s:f>SUMIFS(J4:J35,$C$4:$C$35,"Налич")</s:f>
        <s:v>2</s:v>
      </s:c>
      <s:c r="K40" s="100">
        <s:f>SUMIFS(K4:K35,$C$4:$C$35,"Налич")</s:f>
        <s:v>0</s:v>
      </s:c>
      <s:c r="L40" s="101">
        <s:f>SUMIFS(L4:L35,$C$4:$C$35,"Налич")</s:f>
        <s:v>0</s:v>
      </s:c>
      <s:c r="M40" s="102">
        <s:f>SUMIFS(M4:M35,$C$4:$C$35,"Налич")</s:f>
        <s:v>0</s:v>
      </s:c>
      <s:c r="N40" s="100">
        <s:f>SUMIFS(N4:N35,$C$4:$C$35,"Налич")</s:f>
        <s:v>0</s:v>
      </s:c>
      <s:c r="O40" s="103">
        <s:f>SUMIFS(O4:O35,$C$4:$C$35,"Налич")</s:f>
        <s:v>0</s:v>
      </s:c>
      <s:c r="P40" s="99">
        <s:f>SUMIFS(P4:P35,$C$4:$C$35,"Налич")</s:f>
        <s:v>0</s:v>
      </s:c>
      <s:c r="Q40" s="100">
        <s:f>SUMIFS(Q4:Q35,$C$4:$C$35,"Налич")</s:f>
        <s:v>0</s:v>
      </s:c>
      <s:c r="R40" s="101">
        <s:f>SUMIFS(R4:R35,$C$4:$C$35,"Налич")</s:f>
        <s:v>0</s:v>
      </s:c>
      <s:c r="S40" s="102">
        <s:f>SUMIFS(S4:S35,$C$4:$C$35,"Налич")</s:f>
        <s:v>2</s:v>
      </s:c>
      <s:c r="T40" s="100">
        <s:f>SUMIFS(T4:T35,$C$4:$C$35,"Налич")</s:f>
        <s:v>0</s:v>
      </s:c>
      <s:c r="U40" s="103">
        <s:f>SUMIFS(U4:U35,$C$4:$C$35,"Налич")</s:f>
        <s:v>0</s:v>
      </s:c>
      <s:c r="V40" s="99">
        <s:f>SUMIFS(V4:V35,$C$4:$C$35,"Налич")</s:f>
        <s:v>2</s:v>
      </s:c>
      <s:c r="W40" s="100">
        <s:f>SUMIFS(W4:W35,$C$4:$C$35,"Налич")</s:f>
        <s:v>0</s:v>
      </s:c>
      <s:c r="X40" s="101">
        <s:f>SUMIFS(X4:X35,$C$4:$C$35,"Налич")</s:f>
        <s:v>0</s:v>
      </s:c>
      <s:c r="Y40" s="102">
        <s:f>SUMIFS(Y4:Y35,$C$4:$C$35,"Налич")</s:f>
        <s:v>0</s:v>
      </s:c>
      <s:c r="Z40" s="100">
        <s:f>SUMIFS(Z4:Z35,$C$4:$C$35,"Налич")</s:f>
        <s:v>35</s:v>
      </s:c>
      <s:c r="AA40" s="103">
        <s:f>SUMIFS(AA4:AA35,$C$4:$C$35,"Налич")</s:f>
        <s:v>35</s:v>
      </s:c>
      <s:c r="AB40" s="99">
        <s:f>SUMIFS(AB4:AB35,$C$4:$C$35,"Налич")</s:f>
        <s:v>35</s:v>
      </s:c>
      <s:c r="AC40" s="100">
        <s:f>SUMIFS(AC4:AC35,$C$4:$C$35,"Налич")</s:f>
        <s:v>35</s:v>
      </s:c>
      <s:c r="AD40" s="101">
        <s:f>SUMIFS(AD4:AD35,$C$4:$C$35,"Налич")</s:f>
        <s:v>35</s:v>
      </s:c>
      <s:c r="AE40" s="102">
        <s:f>SUMIFS(AE4:AE35,$C$4:$C$35,"Налич")</s:f>
        <s:v>35</s:v>
      </s:c>
      <s:c r="AF40" s="100">
        <s:f>SUMIFS(AF4:AF35,$C$4:$C$35,"Налич")</s:f>
        <s:v>35</s:v>
      </s:c>
      <s:c r="AG40" s="103">
        <s:f>SUMIFS(AG4:AG35,$C$4:$C$35,"Налич")</s:f>
        <s:v>35</s:v>
      </s:c>
      <s:c r="AH40" s="99">
        <s:f>SUMIFS(AH4:AH35,$C$4:$C$35,"Налич")</s:f>
        <s:v>35</s:v>
      </s:c>
      <s:c r="AI40" s="100">
        <s:f>SUMIFS(AI4:AI35,$C$4:$C$35,"Налич")</s:f>
        <s:v>35</s:v>
      </s:c>
      <s:c r="AJ40" s="101">
        <s:f>SUMIFS(AJ4:AJ35,$C$4:$C$35,"Налич")</s:f>
        <s:v>35</s:v>
      </s:c>
      <s:c r="AK40" s="102">
        <s:f>SUMIFS(AK4:AK35,$C$4:$C$35,"Налич")</s:f>
        <s:v>7</s:v>
      </s:c>
      <s:c r="AL40" s="100">
        <s:f>SUMIFS(AL4:AL35,$C$4:$C$35,"Налич")</s:f>
        <s:v>7</s:v>
      </s:c>
      <s:c r="AM40" s="103">
        <s:f>SUMIFS(AM4:AM35,$C$4:$C$35,"Налич")</s:f>
        <s:v>7</s:v>
      </s:c>
      <s:c r="AN40" s="99">
        <s:f>SUMIFS(AN4:AN35,$C$4:$C$35,"Налич")</s:f>
        <s:v>7</s:v>
      </s:c>
      <s:c r="AO40" s="100">
        <s:f>SUMIFS(AO4:AO35,$C$4:$C$35,"Налич")</s:f>
        <s:v>7</s:v>
      </s:c>
      <s:c r="AP40" s="101">
        <s:f>SUMIFS(AP4:AP35,$C$4:$C$35,"Налич")</s:f>
        <s:v>7</s:v>
      </s:c>
      <s:c r="AQ40" s="102">
        <s:f>SUMIFS(AQ4:AQ35,$C$4:$C$35,"Налич")</s:f>
        <s:v>7</s:v>
      </s:c>
      <s:c r="AR40" s="100">
        <s:f>SUMIFS(AR4:AR35,$C$4:$C$35,"Налич")</s:f>
        <s:v>6.82</s:v>
      </s:c>
      <s:c r="AS40" s="103">
        <s:f>SUMIFS(AS4:AS35,$C$4:$C$35,"Налич")</s:f>
        <s:v>8</s:v>
      </s:c>
      <s:c r="AT40" s="99">
        <s:f>SUMIFS(AT4:AT35,$C$4:$C$35,"Налич")</s:f>
        <s:v>8</s:v>
      </s:c>
      <s:c r="AU40" s="100">
        <s:f>SUMIFS(AU4:AU35,$C$4:$C$35,"Налич")</s:f>
        <s:v>8</s:v>
      </s:c>
      <s:c r="AV40" s="101">
        <s:f>SUMIFS(AV4:AV35,$C$4:$C$35,"Налич")</s:f>
        <s:v>10</s:v>
      </s:c>
      <s:c r="AW40" s="102">
        <s:f>SUMIFS(AW4:AW35,$C$4:$C$35,"Налич")</s:f>
        <s:v>8</s:v>
      </s:c>
      <s:c r="AX40" s="100">
        <s:f>SUMIFS(AX4:AX35,$C$4:$C$35,"Налич")</s:f>
        <s:v>8</s:v>
      </s:c>
      <s:c r="AY40" s="103">
        <s:f>SUMIFS(AY4:AY35,$C$4:$C$35,"Налич")</s:f>
        <s:v>8</s:v>
      </s:c>
      <s:c r="AZ40" s="99">
        <s:f>SUMIFS(AZ4:AZ35,$C$4:$C$35,"Налич")</s:f>
        <s:v>8</s:v>
      </s:c>
      <s:c r="BA40" s="100">
        <s:f>SUMIFS(BA4:BA35,$C$4:$C$35,"Налич")</s:f>
        <s:v>0</s:v>
      </s:c>
      <s:c r="BB40" s="101">
        <s:f>SUMIFS(BB4:BB35,$C$4:$C$35,"Налич")</s:f>
        <s:v>0</s:v>
      </s:c>
      <s:c r="BC40" s="102">
        <s:f>SUMIFS(BC4:BC35,$C$4:$C$35,"Налич")</s:f>
        <s:v>0</s:v>
      </s:c>
      <s:c r="BD40" s="100">
        <s:f>SUMIFS(BD4:BD35,$C$4:$C$35,"Налич")</s:f>
        <s:v>0</s:v>
      </s:c>
      <s:c r="BE40" s="103">
        <s:f>SUMIFS(BE4:BE35,$C$4:$C$35,"Налич")</s:f>
        <s:v>0</s:v>
      </s:c>
      <s:c r="BF40" s="99">
        <s:f>SUMIFS(BF4:BF35,$C$4:$C$35,"Налич")</s:f>
        <s:v>0</s:v>
      </s:c>
      <s:c r="BG40" s="100">
        <s:f>SUMIFS(BG4:BG35,$C$4:$C$35,"Налич")</s:f>
        <s:v>0</s:v>
      </s:c>
      <s:c r="BH40" s="101">
        <s:f>SUMIFS(BH4:BH35,$C$4:$C$35,"Налич")</s:f>
        <s:v>0</s:v>
      </s:c>
      <s:c r="BI40" s="102">
        <s:f>SUMIFS(BI4:BI35,$C$4:$C$35,"Налич")</s:f>
        <s:v>0</s:v>
      </s:c>
      <s:c r="BJ40" s="100">
        <s:f>SUMIFS(BJ4:BJ35,$C$4:$C$35,"Налич")</s:f>
        <s:v>0</s:v>
      </s:c>
      <s:c r="BK40" s="103">
        <s:f>SUMIFS(BK4:BK35,$C$4:$C$35,"Налич")</s:f>
        <s:v>0</s:v>
      </s:c>
      <s:c r="BL40" s="99">
        <s:f>SUMIFS(BL4:BL35,$C$4:$C$35,"Налич")</s:f>
        <s:v>0</s:v>
      </s:c>
      <s:c r="BM40" s="100">
        <s:f>SUMIFS(BM4:BM35,$C$4:$C$35,"Налич")</s:f>
        <s:v>0</s:v>
      </s:c>
      <s:c r="BN40" s="101">
        <s:f>SUMIFS(BN4:BN35,$C$4:$C$35,"Налич")</s:f>
        <s:v>0</s:v>
      </s:c>
      <s:c r="BO40" s="102">
        <s:f>SUMIFS(BO4:BO35,$C$4:$C$35,"Налич")</s:f>
        <s:v>0</s:v>
      </s:c>
      <s:c r="BP40" s="100">
        <s:f>SUMIFS(BP4:BP35,$C$4:$C$35,"Налич")</s:f>
        <s:v>0</s:v>
      </s:c>
      <s:c r="BQ40" s="103">
        <s:f>SUMIFS(BQ4:BQ35,$C$4:$C$35,"Налич")</s:f>
        <s:v>0</s:v>
      </s:c>
      <s:c r="BR40" s="99">
        <s:f>SUMIFS(BR4:BR35,$C$4:$C$35,"Налич")</s:f>
        <s:v>0</s:v>
      </s:c>
      <s:c r="BS40" s="100">
        <s:f>SUMIFS(BS4:BS35,$C$4:$C$35,"Налич")</s:f>
        <s:v>0</s:v>
      </s:c>
      <s:c r="BT40" s="101">
        <s:f>SUMIFS(BT4:BT35,$C$4:$C$35,"Налич")</s:f>
        <s:v>0</s:v>
      </s:c>
      <s:c r="BU40" s="102">
        <s:f>SUMIFS(BU4:BU35,$C$4:$C$35,"Налич")</s:f>
        <s:v>0</s:v>
      </s:c>
      <s:c r="BV40" s="100">
        <s:f>SUMIFS(BV4:BV35,$C$4:$C$35,"Налич")</s:f>
        <s:v>2</s:v>
      </s:c>
      <s:c r="BW40" s="103">
        <s:f>SUMIFS(BW4:BW35,$C$4:$C$35,"Налич")</s:f>
        <s:v>0</s:v>
      </s:c>
      <s:c r="BX40" s="99">
        <s:f>SUMIFS(BX4:BX35,$C$4:$C$35,"Налич")</s:f>
        <s:v>0</s:v>
      </s:c>
      <s:c r="BY40" s="100">
        <s:f>SUMIFS(BY4:BY35,$C$4:$C$35,"Налич")</s:f>
        <s:v>0</s:v>
      </s:c>
      <s:c r="BZ40" s="101">
        <s:f>SUMIFS(BZ4:BZ35,$C$4:$C$35,"Налич")</s:f>
        <s:v>0</s:v>
      </s:c>
      <s:c r="CA40" s="102">
        <s:f>SUMIFS(CA4:CA35,$C$4:$C$35,"Налич")</s:f>
        <s:v>0</s:v>
      </s:c>
      <s:c r="CB40" s="100">
        <s:f>SUMIFS(CB4:CB35,$C$4:$C$35,"Налич")</s:f>
        <s:v>0</s:v>
      </s:c>
      <s:c r="CC40" s="103">
        <s:f>SUMIFS(CC4:CC35,$C$4:$C$35,"Налич")</s:f>
        <s:v>0</s:v>
      </s:c>
      <s:c r="CD40" s="99">
        <s:f>SUMIFS(CD4:CD35,$C$4:$C$35,"Налич")</s:f>
        <s:v>0</s:v>
      </s:c>
      <s:c r="CE40" s="100">
        <s:f>SUMIFS(CE4:CE35,$C$4:$C$35,"Налич")</s:f>
        <s:v>0</s:v>
      </s:c>
      <s:c r="CF40" s="101">
        <s:f>SUMIFS(CF4:CF35,$C$4:$C$35,"Налич")</s:f>
        <s:v>0</s:v>
      </s:c>
      <s:c r="CG40" s="102">
        <s:f>SUMIFS(CG4:CG35,$C$4:$C$35,"Налич")</s:f>
        <s:v>0</s:v>
      </s:c>
      <s:c r="CH40" s="100">
        <s:f>SUMIFS(CH4:CH35,$C$4:$C$35,"Налич")</s:f>
        <s:v>0</s:v>
      </s:c>
      <s:c r="CI40" s="103">
        <s:f>SUMIFS(CI4:CI35,$C$4:$C$35,"Налич")</s:f>
        <s:v>0</s:v>
      </s:c>
      <s:c r="CJ40" s="99">
        <s:f>SUMIFS(CJ4:CJ35,$C$4:$C$35,"Налич")</s:f>
        <s:v>0</s:v>
      </s:c>
      <s:c r="CK40" s="100">
        <s:f>SUMIFS(CK4:CK35,$C$4:$C$35,"Налич")</s:f>
        <s:v>0</s:v>
      </s:c>
      <s:c r="CL40" s="101">
        <s:f>SUMIFS(CL4:CL35,$C$4:$C$35,"Налич")</s:f>
        <s:v>0</s:v>
      </s:c>
      <s:c r="CM40" s="102">
        <s:f>SUMIFS(CM4:CM35,$C$4:$C$35,"Налич")</s:f>
        <s:v>0</s:v>
      </s:c>
      <s:c r="CN40" s="100">
        <s:f>SUMIFS(CN4:CN35,$C$4:$C$35,"Налич")</s:f>
        <s:v>0</s:v>
      </s:c>
      <s:c r="CO40" s="103">
        <s:f>SUMIFS(CO4:CO35,$C$4:$C$35,"Налич")</s:f>
        <s:v>0</s:v>
      </s:c>
      <s:c r="CP40" s="99">
        <s:f>SUMIFS(CP4:CP35,$C$4:$C$35,"Налич")</s:f>
        <s:v>0</s:v>
      </s:c>
      <s:c r="CQ40" s="100">
        <s:f>SUMIFS(CQ4:CQ35,$C$4:$C$35,"Налич")</s:f>
        <s:v>0</s:v>
      </s:c>
      <s:c r="CR40" s="101">
        <s:f>SUMIFS(CR4:CR35,$C$4:$C$35,"Налич")</s:f>
        <s:v>0</s:v>
      </s:c>
      <s:c r="CW40" s="114"/>
      <s:c r="CX40" s="114"/>
      <s:c r="CY40" s="112"/>
    </s:row>
    <s:row r="41" ht="24.75">
      <s:c r="B41" s="73" t="s">
        <s:v>34</s:v>
      </s:c>
      <s:c r="D41" s="151">
        <s:f>D38*$D$46+E38*$D$47+F38*$D$48</s:f>
        <s:v>0</s:v>
      </s:c>
      <s:c r="E41" s="152"/>
      <s:c r="F41" s="153"/>
      <s:c r="G41" s="154">
        <s:f>G38*$D$46+H38*$D$47+I38*$D$48</s:f>
        <s:v>0</s:v>
      </s:c>
      <s:c r="H41" s="152"/>
      <s:c r="I41" s="155"/>
      <s:c r="J41" s="151">
        <s:f>J38*$D$46+K38*$D$47+L38*$D$48</s:f>
        <s:v>0</s:v>
      </s:c>
      <s:c r="K41" s="152"/>
      <s:c r="L41" s="153"/>
      <s:c r="M41" s="154">
        <s:f>M38*$D$46+N38*$D$47+O38*$D$48</s:f>
        <s:v>0</s:v>
      </s:c>
      <s:c r="N41" s="152"/>
      <s:c r="O41" s="155"/>
      <s:c r="P41" s="151">
        <s:f>P38*$D$46+Q38*$D$47+R38*$D$48</s:f>
        <s:v>0</s:v>
      </s:c>
      <s:c r="Q41" s="152"/>
      <s:c r="R41" s="153"/>
      <s:c r="S41" s="154">
        <s:f>S38*$D$46+T38*$D$47+U38*$D$48</s:f>
        <s:v>0</s:v>
      </s:c>
      <s:c r="T41" s="152"/>
      <s:c r="U41" s="155"/>
      <s:c r="V41" s="151">
        <s:f>V38*$D$46+W38*$D$47+X38*$D$48</s:f>
        <s:v>0</s:v>
      </s:c>
      <s:c r="W41" s="152"/>
      <s:c r="X41" s="153"/>
      <s:c r="Y41" s="154">
        <s:f>Y38*$D$46+Z38*$D$47+AA38*$D$48</s:f>
        <s:v>0</s:v>
      </s:c>
      <s:c r="Z41" s="152"/>
      <s:c r="AA41" s="155"/>
      <s:c r="AB41" s="151">
        <s:f>AB38*$D$46+AC38*$D$47+AD38*$D$48</s:f>
        <s:v>0</s:v>
      </s:c>
      <s:c r="AC41" s="152"/>
      <s:c r="AD41" s="153"/>
      <s:c r="AE41" s="154">
        <s:f>AE38*$D$46+AF38*$D$47+AG38*$D$48</s:f>
        <s:v>0</s:v>
      </s:c>
      <s:c r="AF41" s="152"/>
      <s:c r="AG41" s="155"/>
      <s:c r="AH41" s="151">
        <s:f>AH38*$D$46+AI38*$D$47+AJ38*$D$48</s:f>
        <s:v>0</s:v>
      </s:c>
      <s:c r="AI41" s="152"/>
      <s:c r="AJ41" s="153"/>
      <s:c r="AK41" s="154">
        <s:f>AK38*$D$46+AL38*$D$47+AM38*$D$48</s:f>
        <s:v>0</s:v>
      </s:c>
      <s:c r="AL41" s="152"/>
      <s:c r="AM41" s="155"/>
      <s:c r="AN41" s="151">
        <s:f>AN38*$D$46+AO38*$D$47+AP38*$D$48</s:f>
        <s:v>0</s:v>
      </s:c>
      <s:c r="AO41" s="152"/>
      <s:c r="AP41" s="153"/>
      <s:c r="AQ41" s="154">
        <s:f>AQ38*$D$46+AR38*$D$47+AS38*$D$48</s:f>
        <s:v>0</s:v>
      </s:c>
      <s:c r="AR41" s="152"/>
      <s:c r="AS41" s="155"/>
      <s:c r="AT41" s="151">
        <s:f>AT38*$D$46+AU38*$D$47+AV38*$D$48</s:f>
        <s:v>0</s:v>
      </s:c>
      <s:c r="AU41" s="152"/>
      <s:c r="AV41" s="153"/>
      <s:c r="AW41" s="154">
        <s:f>AW38*$D$46+AX38*$D$47+AY38*$D$48</s:f>
        <s:v>0</s:v>
      </s:c>
      <s:c r="AX41" s="152"/>
      <s:c r="AY41" s="155"/>
      <s:c r="AZ41" s="151">
        <s:f>AZ38*$D$46+BA38*$D$47+BB38*$D$48</s:f>
        <s:v>0</s:v>
      </s:c>
      <s:c r="BA41" s="152"/>
      <s:c r="BB41" s="153"/>
      <s:c r="BC41" s="154">
        <s:f>BC38*$D$46+BD38*$D$47+BE38*$D$48</s:f>
        <s:v>0</s:v>
      </s:c>
      <s:c r="BD41" s="152"/>
      <s:c r="BE41" s="155"/>
      <s:c r="BF41" s="151">
        <s:f>BF38*$D$46+BG38*$D$47+BH38*$D$48</s:f>
        <s:v>0</s:v>
      </s:c>
      <s:c r="BG41" s="152"/>
      <s:c r="BH41" s="153"/>
      <s:c r="BI41" s="154">
        <s:f>BI38*$D$46+BJ38*$D$47+BK38*$D$48</s:f>
        <s:v>0</s:v>
      </s:c>
      <s:c r="BJ41" s="152"/>
      <s:c r="BK41" s="155"/>
      <s:c r="BL41" s="151">
        <s:f>BL38*$D$46+BM38*$D$47+BN38*$D$48</s:f>
        <s:v>0</s:v>
      </s:c>
      <s:c r="BM41" s="152"/>
      <s:c r="BN41" s="153"/>
      <s:c r="BO41" s="154">
        <s:f>BO38*$D$46+BP38*$D$47+BQ38*$D$48</s:f>
        <s:v>0</s:v>
      </s:c>
      <s:c r="BP41" s="152"/>
      <s:c r="BQ41" s="155"/>
      <s:c r="BR41" s="151">
        <s:f>BR38*$D$46+BS38*$D$47+BT38*$D$48</s:f>
        <s:v>20740</s:v>
      </s:c>
      <s:c r="BS41" s="152"/>
      <s:c r="BT41" s="153"/>
      <s:c r="BU41" s="154">
        <s:f>BU38*$D$46+BV38*$D$47+BW38*$D$48</s:f>
        <s:v>64660</s:v>
      </s:c>
      <s:c r="BV41" s="152"/>
      <s:c r="BW41" s="155"/>
      <s:c r="BX41" s="151">
        <s:f>BX38*$D$46+BY38*$D$47+BZ38*$D$48</s:f>
        <s:v>19520</s:v>
      </s:c>
      <s:c r="BY41" s="152"/>
      <s:c r="BZ41" s="153"/>
      <s:c r="CA41" s="154">
        <s:f>CA38*$D$46+CB38*$D$47+CC38*$D$48</s:f>
        <s:v>0</s:v>
      </s:c>
      <s:c r="CB41" s="152"/>
      <s:c r="CC41" s="155"/>
      <s:c r="CD41" s="151">
        <s:f>CD38*$D$46+CE38*$D$47+CF38*$D$48</s:f>
        <s:v>0</s:v>
      </s:c>
      <s:c r="CE41" s="152"/>
      <s:c r="CF41" s="153"/>
      <s:c r="CG41" s="154">
        <s:f>CG38*$D$46+CH38*$D$47+CI38*$D$48</s:f>
        <s:v>0</s:v>
      </s:c>
      <s:c r="CH41" s="152"/>
      <s:c r="CI41" s="155"/>
      <s:c r="CJ41" s="151">
        <s:f>CJ38*$D$46+CK38*$D$47+CL38*$D$48</s:f>
        <s:v>0</s:v>
      </s:c>
      <s:c r="CK41" s="152"/>
      <s:c r="CL41" s="153"/>
      <s:c r="CM41" s="154">
        <s:f>CM38*$D$46+CN38*$D$47+CO38*$D$48</s:f>
        <s:v>0</s:v>
      </s:c>
      <s:c r="CN41" s="152"/>
      <s:c r="CO41" s="155"/>
      <s:c r="CP41" s="151">
        <s:f>CP38*$D$46+CQ38*$D$47+CR38*$D$48</s:f>
        <s:v>0</s:v>
      </s:c>
      <s:c r="CQ41" s="152"/>
      <s:c r="CR41" s="153"/>
      <s:c r="CS41" s="104"/>
      <s:c r="CT41" s="105"/>
      <s:c r="CU41" s="105"/>
      <s:c r="CV41" s="105"/>
      <s:c r="CW41" s="115" t="s">
        <s:v>38</s:v>
      </s:c>
      <s:c r="CX41" s="113">
        <s:f>SUM(D41:CR41)</s:f>
        <s:v>104920</s:v>
      </s:c>
      <s:c r="CY41" s="112"/>
    </s:row>
    <s:row r="42" ht="24.75">
      <s:c r="B42" s="73" t="s">
        <s:v>35</s:v>
      </s:c>
      <s:c r="D42" s="149">
        <s:f>D39*$C$46+E39*$C$47+F39*$C$48</s:f>
        <s:v>0</s:v>
      </s:c>
      <s:c r="E42" s="147"/>
      <s:c r="F42" s="150"/>
      <s:c r="G42" s="146">
        <s:f>G39*$C$46+H39*$C$47+I39*$C$48</s:f>
        <s:v>0</s:v>
      </s:c>
      <s:c r="H42" s="147"/>
      <s:c r="I42" s="148"/>
      <s:c r="J42" s="149">
        <s:f>J39*$C$46+K39*$C$47+L39*$C$48</s:f>
        <s:v>14800</s:v>
      </s:c>
      <s:c r="K42" s="147"/>
      <s:c r="L42" s="150"/>
      <s:c r="M42" s="149">
        <s:f>M39*$C$46+N39*$C$47+O39*$C$48</s:f>
        <s:v>21200</s:v>
      </s:c>
      <s:c r="N42" s="147"/>
      <s:c r="O42" s="150"/>
      <s:c r="P42" s="149">
        <s:f>P39*$C$46+Q39*$C$47+R39*$C$48</s:f>
        <s:v>21200</s:v>
      </s:c>
      <s:c r="Q42" s="147"/>
      <s:c r="R42" s="150"/>
      <s:c r="S42" s="149">
        <s:f>S39*$C$46+T39*$C$47+U39*$C$48</s:f>
        <s:v>6400</s:v>
      </s:c>
      <s:c r="T42" s="147"/>
      <s:c r="U42" s="150"/>
      <s:c r="V42" s="149">
        <s:f>V39*$C$46+W39*$C$47+X39*$C$48</s:f>
        <s:v>0</s:v>
      </s:c>
      <s:c r="W42" s="147"/>
      <s:c r="X42" s="150"/>
      <s:c r="Y42" s="149">
        <s:f>Y39*$C$46+Z39*$C$47+AA39*$C$48</s:f>
        <s:v>0</s:v>
      </s:c>
      <s:c r="Z42" s="147"/>
      <s:c r="AA42" s="150"/>
      <s:c r="AB42" s="149">
        <s:f>AB39*$C$46+AC39*$C$47+AD39*$C$48</s:f>
        <s:v>800</s:v>
      </s:c>
      <s:c r="AC42" s="147"/>
      <s:c r="AD42" s="150"/>
      <s:c r="AE42" s="146">
        <s:f>AE39*$C$46+AF39*$C$47+AG39*$C$48</s:f>
        <s:v>0</s:v>
      </s:c>
      <s:c r="AF42" s="147"/>
      <s:c r="AG42" s="148"/>
      <s:c r="AH42" s="149">
        <s:f>AH39*$C$46+AI39*$C$47+AJ39*$C$48</s:f>
        <s:v>0</s:v>
      </s:c>
      <s:c r="AI42" s="147"/>
      <s:c r="AJ42" s="150"/>
      <s:c r="AK42" s="146">
        <s:f>AK39*$C$46+AL39*$C$47+AM39*$C$48</s:f>
        <s:v>0</s:v>
      </s:c>
      <s:c r="AL42" s="147"/>
      <s:c r="AM42" s="148"/>
      <s:c r="AN42" s="149">
        <s:f>AN39*$C$46+AO39*$C$47+AP39*$C$48</s:f>
        <s:v>0</s:v>
      </s:c>
      <s:c r="AO42" s="147"/>
      <s:c r="AP42" s="150"/>
      <s:c r="AQ42" s="146">
        <s:f>AQ39*$C$46+AR39*$C$47+AS39*$C$48</s:f>
        <s:v>15980</s:v>
      </s:c>
      <s:c r="AR42" s="147"/>
      <s:c r="AS42" s="148"/>
      <s:c r="AT42" s="149">
        <s:f>AT39*$C$46+AU39*$C$47+AV39*$C$48</s:f>
        <s:v>21200</s:v>
      </s:c>
      <s:c r="AU42" s="147"/>
      <s:c r="AV42" s="150"/>
      <s:c r="AW42" s="146">
        <s:f>AW39*$C$46+AX39*$C$47+AY39*$C$48</s:f>
        <s:v>22000</s:v>
      </s:c>
      <s:c r="AX42" s="147"/>
      <s:c r="AY42" s="148"/>
      <s:c r="AZ42" s="149">
        <s:f>AZ39*$C$46+BA39*$C$47+BB39*$C$48</s:f>
        <s:v>6400</s:v>
      </s:c>
      <s:c r="BA42" s="147"/>
      <s:c r="BB42" s="150"/>
      <s:c r="BC42" s="146">
        <s:f>BC39*$C$46+BD39*$C$47+BE39*$C$48</s:f>
        <s:v>0</s:v>
      </s:c>
      <s:c r="BD42" s="147"/>
      <s:c r="BE42" s="148"/>
      <s:c r="BF42" s="149">
        <s:f>BF39*$C$46+BG39*$C$47+BH39*$C$48</s:f>
        <s:v>0</s:v>
      </s:c>
      <s:c r="BG42" s="147"/>
      <s:c r="BH42" s="150"/>
      <s:c r="BI42" s="146">
        <s:f>BI39*$C$46+BJ39*$C$47+BK39*$C$48</s:f>
        <s:v>0</s:v>
      </s:c>
      <s:c r="BJ42" s="147"/>
      <s:c r="BK42" s="148"/>
      <s:c r="BL42" s="149">
        <s:f>BL39*$C$46+BM39*$C$47+BN39*$C$48</s:f>
        <s:v>0</s:v>
      </s:c>
      <s:c r="BM42" s="147"/>
      <s:c r="BN42" s="150"/>
      <s:c r="BO42" s="146">
        <s:f>BO39*$C$46+BP39*$C$47+BQ39*$C$48</s:f>
        <s:v>0</s:v>
      </s:c>
      <s:c r="BP42" s="147"/>
      <s:c r="BQ42" s="148"/>
      <s:c r="BR42" s="149">
        <s:f>BR39*$C$46+BS39*$C$47+BT39*$C$48</s:f>
        <s:v>0</s:v>
      </s:c>
      <s:c r="BS42" s="147"/>
      <s:c r="BT42" s="150"/>
      <s:c r="BU42" s="146">
        <s:f>BU39*$C$46+BV39*$C$47+BW39*$C$48</s:f>
        <s:v>0</s:v>
      </s:c>
      <s:c r="BV42" s="147"/>
      <s:c r="BW42" s="148"/>
      <s:c r="BX42" s="149">
        <s:f>BX39*$C$46+BY39*$C$47+BZ39*$C$48</s:f>
        <s:v>0</s:v>
      </s:c>
      <s:c r="BY42" s="147"/>
      <s:c r="BZ42" s="150"/>
      <s:c r="CA42" s="146">
        <s:f>CA39*$C$46+CB39*$C$47+CC39*$C$48</s:f>
        <s:v>0</s:v>
      </s:c>
      <s:c r="CB42" s="147"/>
      <s:c r="CC42" s="148"/>
      <s:c r="CD42" s="149">
        <s:f>CD39*$C$46+CE39*$C$47+CF39*$C$48</s:f>
        <s:v>0</s:v>
      </s:c>
      <s:c r="CE42" s="147"/>
      <s:c r="CF42" s="150"/>
      <s:c r="CG42" s="146">
        <s:f>CG39*$C$46+CH39*$C$47+CI39*$C$48</s:f>
        <s:v>0</s:v>
      </s:c>
      <s:c r="CH42" s="147"/>
      <s:c r="CI42" s="148"/>
      <s:c r="CJ42" s="149">
        <s:f>CJ39*$C$46+CK39*$C$47+CL39*$C$48</s:f>
        <s:v>0</s:v>
      </s:c>
      <s:c r="CK42" s="147"/>
      <s:c r="CL42" s="150"/>
      <s:c r="CM42" s="146">
        <s:f>CM39*$C$46+CN39*$C$47+CO39*$C$48</s:f>
        <s:v>0</s:v>
      </s:c>
      <s:c r="CN42" s="147"/>
      <s:c r="CO42" s="148"/>
      <s:c r="CP42" s="149">
        <s:f>CP39*$C$46+CQ39*$C$47+CR39*$C$48</s:f>
        <s:v>0</s:v>
      </s:c>
      <s:c r="CQ42" s="147"/>
      <s:c r="CR42" s="150"/>
      <s:c r="CS42" s="106"/>
      <s:c r="CT42" s="107"/>
      <s:c r="CU42" s="107"/>
      <s:c r="CV42" s="116" t="s">
        <s:v>41</s:v>
      </s:c>
      <s:c r="CW42" s="113">
        <s:f>SUM(D42:CR42)</s:f>
        <s:v>129980</s:v>
      </s:c>
      <s:c r="CY42" s="112"/>
    </s:row>
    <s:row r="43" ht="24.75">
      <s:c r="B43" s="73" t="s">
        <s:v>36</s:v>
      </s:c>
      <s:c r="D43" s="156">
        <s:f>D40*$C$46+E40*$C$47+F40*$C$48</s:f>
        <s:v>0</s:v>
      </s:c>
      <s:c r="E43" s="157"/>
      <s:c r="F43" s="158"/>
      <s:c r="G43" s="159">
        <s:f>G40*$C$46+H40*$C$47+I40*$C$48</s:f>
        <s:v>0</s:v>
      </s:c>
      <s:c r="H43" s="157"/>
      <s:c r="I43" s="160"/>
      <s:c r="J43" s="161">
        <s:f>J40*$C$46+K40*$C$47+L40*$C$48</s:f>
        <s:v>1600</s:v>
      </s:c>
      <s:c r="K43" s="162"/>
      <s:c r="L43" s="163"/>
      <s:c r="M43" s="161">
        <s:f>M40*$C$46+N40*$C$47+O40*$C$48</s:f>
        <s:v>0</s:v>
      </s:c>
      <s:c r="N43" s="162"/>
      <s:c r="O43" s="163"/>
      <s:c r="P43" s="161">
        <s:f>P40*$C$46+Q40*$C$47+R40*$C$48</s:f>
        <s:v>0</s:v>
      </s:c>
      <s:c r="Q43" s="162"/>
      <s:c r="R43" s="163"/>
      <s:c r="S43" s="161">
        <s:f>S40*$C$46+T40*$C$47+U40*$C$48</s:f>
        <s:v>1600</s:v>
      </s:c>
      <s:c r="T43" s="162"/>
      <s:c r="U43" s="163"/>
      <s:c r="V43" s="161">
        <s:f>V40*$C$46+W40*$C$47+X40*$C$48</s:f>
        <s:v>1600</s:v>
      </s:c>
      <s:c r="W43" s="162"/>
      <s:c r="X43" s="163"/>
      <s:c r="Y43" s="161">
        <s:f>Y40*$C$46+Z40*$C$47+AA40*$C$48</s:f>
        <s:v>64750</s:v>
      </s:c>
      <s:c r="Z43" s="162"/>
      <s:c r="AA43" s="163"/>
      <s:c r="AB43" s="161">
        <s:f>AB40*$C$46+AC40*$C$47+AD40*$C$48</s:f>
        <s:v>92750</s:v>
      </s:c>
      <s:c r="AC43" s="162"/>
      <s:c r="AD43" s="163"/>
      <s:c r="AE43" s="161">
        <s:f>AE40*$C$46+AF40*$C$47+AG40*$C$48</s:f>
        <s:v>92750</s:v>
      </s:c>
      <s:c r="AF43" s="162"/>
      <s:c r="AG43" s="163"/>
      <s:c r="AH43" s="161">
        <s:f>AH40*$C$46+AI40*$C$47+AJ40*$C$48</s:f>
        <s:v>92750</s:v>
      </s:c>
      <s:c r="AI43" s="162"/>
      <s:c r="AJ43" s="163"/>
      <s:c r="AK43" s="161">
        <s:f>AK40*$C$46+AL40*$C$47+AM40*$C$48</s:f>
        <s:v>18550</s:v>
      </s:c>
      <s:c r="AL43" s="162"/>
      <s:c r="AM43" s="163"/>
      <s:c r="AN43" s="161">
        <s:f>AN40*$C$46+AO40*$C$47+AP40*$C$48</s:f>
        <s:v>18550</s:v>
      </s:c>
      <s:c r="AO43" s="162"/>
      <s:c r="AP43" s="163"/>
      <s:c r="AQ43" s="161">
        <s:f>AQ40*$C$46+AR40*$C$47+AS40*$C$48</s:f>
        <s:v>19220</s:v>
      </s:c>
      <s:c r="AR43" s="162"/>
      <s:c r="AS43" s="163"/>
      <s:c r="AT43" s="156">
        <s:f>AT40*$C$46+AU40*$C$47+AV40*$C$48</s:f>
        <s:v>22900</s:v>
      </s:c>
      <s:c r="AU43" s="157"/>
      <s:c r="AV43" s="158"/>
      <s:c r="AW43" s="159">
        <s:f>AW40*$C$46+AX40*$C$47+AY40*$C$48</s:f>
        <s:v>21200</s:v>
      </s:c>
      <s:c r="AX43" s="157"/>
      <s:c r="AY43" s="160"/>
      <s:c r="AZ43" s="156">
        <s:f>AZ40*$C$46+BA40*$C$47+BB40*$C$48</s:f>
        <s:v>6400</s:v>
      </s:c>
      <s:c r="BA43" s="157"/>
      <s:c r="BB43" s="158"/>
      <s:c r="BC43" s="159">
        <s:f>BC40*$C$46+BD40*$C$47+BE40*$C$48</s:f>
        <s:v>0</s:v>
      </s:c>
      <s:c r="BD43" s="157"/>
      <s:c r="BE43" s="160"/>
      <s:c r="BF43" s="156">
        <s:f>BF40*$C$46+BG40*$C$47+BH40*$C$48</s:f>
        <s:v>0</s:v>
      </s:c>
      <s:c r="BG43" s="157"/>
      <s:c r="BH43" s="158"/>
      <s:c r="BI43" s="159">
        <s:f>BI40*$C$46+BJ40*$C$47+BK40*$C$48</s:f>
        <s:v>0</s:v>
      </s:c>
      <s:c r="BJ43" s="157"/>
      <s:c r="BK43" s="160"/>
      <s:c r="BL43" s="156">
        <s:f>BL40*$C$46+BM40*$C$47+BN40*$C$48</s:f>
        <s:v>0</s:v>
      </s:c>
      <s:c r="BM43" s="157"/>
      <s:c r="BN43" s="158"/>
      <s:c r="BO43" s="159">
        <s:f>BO40*$C$46+BP40*$C$47+BQ40*$C$48</s:f>
        <s:v>0</s:v>
      </s:c>
      <s:c r="BP43" s="157"/>
      <s:c r="BQ43" s="160"/>
      <s:c r="BR43" s="156">
        <s:f>BR40*$C$46+BS40*$C$47+BT40*$C$48</s:f>
        <s:v>0</s:v>
      </s:c>
      <s:c r="BS43" s="157"/>
      <s:c r="BT43" s="158"/>
      <s:c r="BU43" s="159">
        <s:f>BU40*$C$46+BV40*$C$47+BW40*$C$48</s:f>
        <s:v>2000</s:v>
      </s:c>
      <s:c r="BV43" s="157"/>
      <s:c r="BW43" s="160"/>
      <s:c r="BX43" s="156">
        <s:f>BX40*$C$46+BY40*$C$47+BZ40*$C$48</s:f>
        <s:v>0</s:v>
      </s:c>
      <s:c r="BY43" s="157"/>
      <s:c r="BZ43" s="158"/>
      <s:c r="CA43" s="159">
        <s:f>CA40*$C$46+CB40*$C$47+CC40*$C$48</s:f>
        <s:v>0</s:v>
      </s:c>
      <s:c r="CB43" s="157"/>
      <s:c r="CC43" s="160"/>
      <s:c r="CD43" s="156">
        <s:f>CD40*$C$46+CE40*$C$47+CF40*$C$48</s:f>
        <s:v>0</s:v>
      </s:c>
      <s:c r="CE43" s="157"/>
      <s:c r="CF43" s="158"/>
      <s:c r="CG43" s="159">
        <s:f>CG40*$C$46+CH40*$C$47+CI40*$C$48</s:f>
        <s:v>0</s:v>
      </s:c>
      <s:c r="CH43" s="157"/>
      <s:c r="CI43" s="160"/>
      <s:c r="CJ43" s="156">
        <s:f>CJ40*$C$46+CK40*$C$47+CL40*$C$48</s:f>
        <s:v>0</s:v>
      </s:c>
      <s:c r="CK43" s="157"/>
      <s:c r="CL43" s="158"/>
      <s:c r="CM43" s="159">
        <s:f>CM40*$C$46+CN40*$C$47+CO40*$C$48</s:f>
        <s:v>0</s:v>
      </s:c>
      <s:c r="CN43" s="157"/>
      <s:c r="CO43" s="160"/>
      <s:c r="CP43" s="156">
        <s:f>CP40*$C$46+CQ40*$C$47+CR40*$C$48</s:f>
        <s:v>0</s:v>
      </s:c>
      <s:c r="CQ43" s="157"/>
      <s:c r="CR43" s="158"/>
      <s:c r="CS43" s="104"/>
      <s:c r="CT43" s="105"/>
      <s:c r="CU43" s="105"/>
      <s:c r="CV43" s="105"/>
      <s:c r="CW43" s="105"/>
      <s:c r="CX43" s="108" t="s">
        <s:v>37</s:v>
      </s:c>
      <s:c r="CY43" s="113">
        <s:f>SUM(D43:CR43)</s:f>
        <s:v>456620</s:v>
      </s:c>
    </s:row>
    <s:row x14ac:dyDescent="0.3" r="44" spans="1:107" ht="21.6" customHeight="1"/>
    <s:row r="45" ht="21.75">
      <s:c r="B45" s="3" t="s">
        <s:v>22</s:v>
      </s:c>
      <s:c r="C45" s="1" t="s">
        <s:v>21</s:v>
      </s:c>
      <s:c r="D45" s="1" t="s">
        <s:v>20</s:v>
      </s:c>
    </s:row>
    <s:row r="46" ht="21.75">
      <s:c r="B46" s="2" t="s">
        <s:v>14</s:v>
      </s:c>
      <s:c r="C46" s="64">
        <s:v>800</s:v>
      </s:c>
      <s:c r="D46" s="65">
        <s:f>C46*1.22</s:f>
        <s:v>976</s:v>
      </s:c>
      <s:c r="CV46" s="170" t="s">
        <s:v>56</s:v>
      </s:c>
      <s:c r="CW46" s="171"/>
      <s:c r="CX46" s="171"/>
      <s:c r="CY46" s="172"/>
    </s:row>
    <s:row r="47" ht="21.75">
      <s:c r="B47" s="2" t="s">
        <s:v>15</s:v>
      </s:c>
      <s:c r="C47" s="64">
        <s:v>1000</s:v>
      </s:c>
      <s:c r="D47" s="65">
        <s:f>C47*1.22</s:f>
        <s:v>1220</s:v>
      </s:c>
      <s:c r="CV47" s="142" t="s">
        <s:v>83</s:v>
      </s:c>
      <s:c r="CW47" s="143" t="s">
        <s:v>65</s:v>
      </s:c>
      <s:c r="CX47" s="144"/>
      <s:c r="CY47" s="145">
        <s:f>CX41/1.22*0.22+(CX37-CX41/1.22*0.22)*0.15</s:f>
        <s:v>31820</s:v>
      </s:c>
    </s:row>
    <s:row r="48" ht="60">
      <s:c r="B48" s="2" t="s">
        <s:v>16</s:v>
      </s:c>
      <s:c r="C48" s="64">
        <s:v>850</s:v>
      </s:c>
      <s:c r="D48" s="65">
        <s:f>C48*1.22</s:f>
        <s:v>1037</s:v>
      </s:c>
      <s:c r="CV48" s="192" t="s">
        <s:v>118</s:v>
      </s:c>
      <s:c r="CW48" s="143" t="s">
        <s:v>65</s:v>
      </s:c>
      <s:c r="CX48" s="144"/>
      <s:c r="CY48" s="145">
        <s:f validation_="true">CW37/1.02*0.02</s:f>
        <s:v>2548.62745098039</s:v>
      </s:c>
    </s:row>
    <s:row r="49" ht="21.75">
      <s:c r="CV49" s="142" t="s">
        <s:v>68</s:v>
      </s:c>
      <s:c r="CW49" s="143" t="s">
        <s:v>65</s:v>
      </s:c>
      <s:c r="CX49" s="144"/>
      <s:c r="CY49" s="145">
        <s:f validation_="true">(CW37-CY48)*0.15</s:f>
        <s:v>19114.7058823529</s:v>
      </s:c>
    </s:row>
    <s:row r="50" ht="21.75">
      <s:c r="CV50" s="130" t="s">
        <s:v>57</s:v>
      </s:c>
      <s:c r="CW50" s="141" t="s">
        <s:v>66</s:v>
      </s:c>
      <s:c r="CX50" s="125"/>
      <s:c r="CY50" s="131">
        <s:f>90949.56</s:f>
        <s:v>90949.56</s:v>
      </s:c>
    </s:row>
    <s:row r="51" ht="21.75">
      <s:c r="CV51" s="130" t="s">
        <s:v>58</s:v>
      </s:c>
      <s:c r="CW51" s="141" t="s">
        <s:v>65</s:v>
      </s:c>
      <s:c r="CX51" s="125"/>
      <s:c r="CY51" s="131">
        <s:v>141300</s:v>
      </s:c>
    </s:row>
    <s:row r="52" ht="21.75">
      <s:c r="C52" s="64" t="s">
        <s:v>19</s:v>
      </s:c>
      <s:c r="CV52" s="130" t="s">
        <s:v>59</s:v>
      </s:c>
      <s:c r="CW52" s="141" t="s">
        <s:v>65</s:v>
      </s:c>
      <s:c r="CX52" s="125"/>
      <s:c r="CY52" s="132"/>
    </s:row>
    <s:row r="53" ht="19.5">
      <s:c r="C53" s="64" t="s">
        <s:v>17</s:v>
      </s:c>
      <s:c r="CV53" s="130" t="s">
        <s:v>62</s:v>
      </s:c>
      <s:c r="CW53" s="141"/>
      <s:c r="CX53" s="125"/>
      <s:c r="CY53" s="132"/>
    </s:row>
    <s:row r="54" ht="21.75">
      <s:c r="C54" s="64" t="s">
        <s:v>18</s:v>
      </s:c>
      <s:c r="CV54" s="130"/>
      <s:c r="CW54" s="141"/>
      <s:c r="CX54" s="125"/>
      <s:c r="CY54" s="132"/>
    </s:row>
    <s:row r="55" ht="21.75">
      <s:c r="C55" s="64" t="s">
        <s:v>28</s:v>
      </s:c>
      <s:c r="CV55" s="134" t="s">
        <s:v>61</s:v>
      </s:c>
      <s:c r="CW55" s="141"/>
      <s:c r="CX55" s="135"/>
      <s:c r="CY55" s="136">
        <s:f>CV37-SUM(CY47:CY54)</s:f>
        <s:v>405787.106666666</s:v>
      </s:c>
    </s:row>
    <s:row r="56" ht="21.75">
      <s:c r="CV56" s="129" t="s">
        <s:v>64</s:v>
      </s:c>
      <s:c r="CW56" s="137"/>
      <s:c r="CX56" s="137"/>
      <s:c r="CY56" s="139">
        <s:f>CY37-SUMIF(CW47:CW54,"наличные",CY47:CY54)</s:f>
        <s:v>365670.44</s:v>
      </s:c>
    </s:row>
    <s:row r="57">
      <s:c r="CV57" s="133" t="s">
        <s:v>63</s:v>
      </s:c>
      <s:c r="CW57" s="138"/>
      <s:c r="CX57" s="138"/>
      <s:c r="CY57" s="140">
        <s:f validation_="true">CW37+CX37-SUMIF(CW47:CW54,"безнал",CY47:CY54)</s:f>
        <s:v>40116.6666666666</s:v>
      </s:c>
    </s:row>
  </s:sheetData>
  <s:mergeCells count="127">
    <s:mergeCell ref="CV46:CY46"/>
    <s:mergeCell ref="CG2:CI2"/>
    <s:mergeCell ref="CJ2:CL2"/>
    <s:mergeCell ref="CM2:CO2"/>
    <s:mergeCell ref="CP2:CR2"/>
    <s:mergeCell ref="BO2:BQ2"/>
    <s:mergeCell ref="BR2:BT2"/>
    <s:mergeCell ref="BU2:BW2"/>
    <s:mergeCell ref="BX2:BZ2"/>
    <s:mergeCell ref="CA2:CC2"/>
    <s:mergeCell ref="CD2:CF2"/>
    <s:mergeCell ref="CV36:CY36"/>
    <s:mergeCell ref="BX41:BZ41"/>
    <s:mergeCell ref="CA42:CC42"/>
    <s:mergeCell ref="CD42:CF42"/>
    <s:mergeCell ref="CM43:CO43"/>
    <s:mergeCell ref="CP43:CR43"/>
    <s:mergeCell ref="BR43:BT43"/>
    <s:mergeCell ref="BU43:BW43"/>
    <s:mergeCell ref="BX43:BZ43"/>
    <s:mergeCell ref="CA43:CC43"/>
    <s:mergeCell ref="CD43:CF43"/>
    <s:mergeCell ref="CG43:CI43"/>
    <s:mergeCell ref="CJ43:CL43"/>
    <s:mergeCell ref="BL2:BN2"/>
    <s:mergeCell ref="AE2:AG2"/>
    <s:mergeCell ref="AH2:AJ2"/>
    <s:mergeCell ref="AK2:AM2"/>
    <s:mergeCell ref="AN2:AP2"/>
    <s:mergeCell ref="AQ2:AS2"/>
    <s:mergeCell ref="AT2:AV2"/>
    <s:mergeCell ref="AW2:AY2"/>
    <s:mergeCell ref="AZ2:BB2"/>
    <s:mergeCell ref="BC2:BE2"/>
    <s:mergeCell ref="BF2:BH2"/>
    <s:mergeCell ref="BI2:BK2"/>
    <s:mergeCell ref="AY1:BH1"/>
    <s:mergeCell ref="D2:F2"/>
    <s:mergeCell ref="G2:I2"/>
    <s:mergeCell ref="J2:L2"/>
    <s:mergeCell ref="M2:O2"/>
    <s:mergeCell ref="P2:R2"/>
    <s:mergeCell ref="S2:U2"/>
    <s:mergeCell ref="AB2:AD2"/>
    <s:mergeCell ref="Y2:AA2"/>
    <s:mergeCell ref="V2:X2"/>
    <s:mergeCell ref="J41:L41"/>
    <s:mergeCell ref="J42:L42"/>
    <s:mergeCell ref="J43:L43"/>
    <s:mergeCell ref="M41:O41"/>
    <s:mergeCell ref="M42:O42"/>
    <s:mergeCell ref="M43:O43"/>
    <s:mergeCell ref="P41:R41"/>
    <s:mergeCell ref="S41:U41"/>
    <s:mergeCell ref="V41:X41"/>
    <s:mergeCell ref="Y41:AA41"/>
    <s:mergeCell ref="AB41:AD41"/>
    <s:mergeCell ref="AE41:AG41"/>
    <s:mergeCell ref="AH41:AJ41"/>
    <s:mergeCell ref="AK41:AM41"/>
    <s:mergeCell ref="AN41:AP41"/>
    <s:mergeCell ref="CM41:CO41"/>
    <s:mergeCell ref="CP41:CR41"/>
    <s:mergeCell ref="P42:R42"/>
    <s:mergeCell ref="S42:U42"/>
    <s:mergeCell ref="V42:X42"/>
    <s:mergeCell ref="Y42:AA42"/>
    <s:mergeCell ref="AB42:AD42"/>
    <s:mergeCell ref="AE42:AG42"/>
    <s:mergeCell ref="CA41:CC41"/>
    <s:mergeCell ref="CD41:CF41"/>
    <s:mergeCell ref="CG41:CI41"/>
    <s:mergeCell ref="BF41:BH41"/>
    <s:mergeCell ref="BI41:BK41"/>
    <s:mergeCell ref="BL41:BN41"/>
    <s:mergeCell ref="BO41:BQ41"/>
    <s:mergeCell ref="CM42:CO42"/>
    <s:mergeCell ref="CP42:CR42"/>
    <s:mergeCell ref="BU41:BW41"/>
    <s:mergeCell ref="AN43:AP43"/>
    <s:mergeCell ref="AH42:AJ42"/>
    <s:mergeCell ref="AK42:AM42"/>
    <s:mergeCell ref="AN42:AP42"/>
    <s:mergeCell ref="AQ42:AS42"/>
    <s:mergeCell ref="AT42:AV42"/>
    <s:mergeCell ref="AW42:AY42"/>
    <s:mergeCell ref="AZ42:BB42"/>
    <s:mergeCell ref="BO43:BQ43"/>
    <s:mergeCell ref="AZ43:BB43"/>
    <s:mergeCell ref="BC43:BE43"/>
    <s:mergeCell ref="BF43:BH43"/>
    <s:mergeCell ref="BI43:BK43"/>
    <s:mergeCell ref="BL43:BN43"/>
    <s:mergeCell ref="D41:F41"/>
    <s:mergeCell ref="G41:I41"/>
    <s:mergeCell ref="D42:F42"/>
    <s:mergeCell ref="G42:I42"/>
    <s:mergeCell ref="D43:F43"/>
    <s:mergeCell ref="G43:I43"/>
    <s:mergeCell ref="AQ43:AS43"/>
    <s:mergeCell ref="AT43:AV43"/>
    <s:mergeCell ref="AW43:AY43"/>
    <s:mergeCell ref="BC42:BE42"/>
    <s:mergeCell ref="BF42:BH42"/>
    <s:mergeCell ref="BI42:BK42"/>
    <s:mergeCell ref="BL42:BN42"/>
    <s:mergeCell ref="P43:R43"/>
    <s:mergeCell ref="S43:U43"/>
    <s:mergeCell ref="V43:X43"/>
    <s:mergeCell ref="Y43:AA43"/>
    <s:mergeCell ref="AB43:AD43"/>
    <s:mergeCell ref="AE43:AG43"/>
    <s:mergeCell ref="AH43:AJ43"/>
    <s:mergeCell ref="AK43:AM43"/>
    <s:mergeCell ref="CG42:CI42"/>
    <s:mergeCell ref="CJ42:CL42"/>
    <s:mergeCell ref="CJ41:CL41"/>
    <s:mergeCell ref="BR41:BT41"/>
    <s:mergeCell ref="AQ41:AS41"/>
    <s:mergeCell ref="AT41:AV41"/>
    <s:mergeCell ref="AW41:AY41"/>
    <s:mergeCell ref="AZ41:BB41"/>
    <s:mergeCell ref="BC41:BE41"/>
    <s:mergeCell ref="BR42:BT42"/>
    <s:mergeCell ref="BU42:BW42"/>
    <s:mergeCell ref="BX42:BZ42"/>
    <s:mergeCell ref="BO42:BQ42"/>
  </s:mergeCells>
  <s:phoneticPr fontId="16" type="noConversion"/>
  <s:conditionalFormatting sqref="B4:C35">
    <s:cfRule type="containsBlanks" dxfId="87" priority="7">
      <s:formula>LEN(TRIM(B4))=0</s:formula>
    </s:cfRule>
  </s:conditionalFormatting>
  <s:conditionalFormatting sqref="B36:C36">
    <s:cfRule type="expression" dxfId="86" priority="24">
      <s:formula>$CZ36=$DE$4</s:formula>
    </s:cfRule>
    <s:cfRule type="expression" dxfId="85" priority="25">
      <s:formula>$CZ36=$DE$5</s:formula>
    </s:cfRule>
    <s:cfRule type="expression" dxfId="84" priority="26">
      <s:formula>$CZ36=$DE$6</s:formula>
    </s:cfRule>
  </s:conditionalFormatting>
  <s:conditionalFormatting sqref="D2 G2 J2 M2 P2 S2 V2 Y2 AB2 AE2 AH2 AK2 AN2 AQ2 AT2 AW2 AZ2 BC2 BF2 BI2 BL2 BO2 BR2 BU2 BX2 CA2 CD2 CG2 CJ2 CM2 CP2">
    <s:cfRule type="timePeriod" dxfId="83" priority="12" timePeriod="today">
      <s:formula>FLOOR(D2,1)=TODAY()</s:formula>
    </s:cfRule>
  </s:conditionalFormatting>
  <s:conditionalFormatting sqref="F4:CR35">
    <s:cfRule type="cellIs" dxfId="82" priority="3" operator="equal">
      <s:formula>0</s:formula>
    </s:cfRule>
    <s:cfRule type="containsBlanks" dxfId="81" priority="4">
      <s:formula>LEN(TRIM(F4))=0</s:formula>
    </s:cfRule>
  </s:conditionalFormatting>
  <s:conditionalFormatting sqref="H4:H35">
    <s:cfRule type="expression" dxfId="80" priority="74">
      <s:formula>AND(COLUMN()&gt;COLUMN($F$4),C4&lt;&gt;"",H4&gt;C4)</s:formula>
    </s:cfRule>
    <s:cfRule type="expression" dxfId="79" priority="76">
      <s:formula>AND(COLUMN()&gt;COLUMN($F$4),C4&lt;&gt;"",H4&lt;C4)</s:formula>
    </s:cfRule>
  </s:conditionalFormatting>
  <s:conditionalFormatting sqref="I3 L3 O3 R3 U3 X3 AA3 AD3 AG3 AJ3 AM3 AP3 AS3 AV3 AY3 BB3 BE3 BH3 BK3 BN3 BQ3 BT3 BW3 BZ3 CC3 CF3 CI3 CL3 CO3 CR3">
    <s:cfRule type="timePeriod" dxfId="78" priority="2" timePeriod="today">
      <s:formula>FLOOR(I3,1)=TODAY()</s:formula>
    </s:cfRule>
  </s:conditionalFormatting>
  <s:conditionalFormatting sqref="I36 L36 O36 R36 U36 X36 AA36 AD36 AG36 AJ36 AM36 AP36 AS36 AV36 AY36 BB36 BE36 BH36 BK36 BN36 BQ36 BT36 BW36 BZ36 CC36 CF36 CI36 CL36 CO36 CR36">
    <s:cfRule type="timePeriod" dxfId="77" priority="1" timePeriod="today">
      <s:formula>FLOOR(I36,1)=TODAY()</s:formula>
    </s:cfRule>
  </s:conditionalFormatting>
  <s:conditionalFormatting sqref="I4:J35">
    <s:cfRule type="expression" dxfId="76" priority="90">
      <s:formula>AND(COLUMN()&gt;COLUMN($F$4),C4&lt;&gt;"",I4&gt;C4)</s:formula>
    </s:cfRule>
    <s:cfRule type="expression" dxfId="75" priority="91">
      <s:formula>AND(COLUMN()&gt;COLUMN($F$4),C4&lt;&gt;"",I4&lt;C4)</s:formula>
    </s:cfRule>
  </s:conditionalFormatting>
  <s:conditionalFormatting sqref="K4:K35">
    <s:cfRule type="expression" dxfId="74" priority="102">
      <s:formula>AND(COLUMN()&gt;COLUMN($F$4),D4&lt;&gt;"",K4&gt;D4)</s:formula>
    </s:cfRule>
    <s:cfRule type="expression" dxfId="73" priority="104">
      <s:formula>AND(COLUMN()&gt;COLUMN($F$4),D4&lt;&gt;"",K4&lt;D4)</s:formula>
    </s:cfRule>
  </s:conditionalFormatting>
  <s:conditionalFormatting sqref="L4:M35">
    <s:cfRule type="expression" dxfId="72" priority="118">
      <s:formula>AND(COLUMN()&gt;COLUMN($F$4),D4&lt;&gt;"",L4&gt;D4)</s:formula>
    </s:cfRule>
    <s:cfRule type="expression" dxfId="71" priority="119">
      <s:formula>AND(COLUMN()&gt;COLUMN($F$4),D4&lt;&gt;"",L4&lt;D4)</s:formula>
    </s:cfRule>
  </s:conditionalFormatting>
  <s:conditionalFormatting sqref="N4:N35">
    <s:cfRule type="expression" dxfId="70" priority="130">
      <s:formula>AND(COLUMN()&gt;COLUMN($F$4),E4&lt;&gt;"",N4&gt;E4)</s:formula>
    </s:cfRule>
    <s:cfRule type="expression" dxfId="69" priority="132">
      <s:formula>AND(COLUMN()&gt;COLUMN($F$4),E4&lt;&gt;"",N4&lt;E4)</s:formula>
    </s:cfRule>
  </s:conditionalFormatting>
  <s:conditionalFormatting sqref="O4:P35">
    <s:cfRule type="expression" dxfId="68" priority="146">
      <s:formula>AND(COLUMN()&gt;COLUMN($F$4),E4&lt;&gt;"",O4&gt;E4)</s:formula>
    </s:cfRule>
    <s:cfRule type="expression" dxfId="67" priority="147">
      <s:formula>AND(COLUMN()&gt;COLUMN($F$4),E4&lt;&gt;"",O4&lt;E4)</s:formula>
    </s:cfRule>
  </s:conditionalFormatting>
  <s:conditionalFormatting sqref="Q4:Q35">
    <s:cfRule type="expression" dxfId="66" priority="158">
      <s:formula>AND(COLUMN()&gt;COLUMN($F$4),F4&lt;&gt;"",Q4&gt;F4)</s:formula>
    </s:cfRule>
    <s:cfRule type="expression" dxfId="65" priority="160">
      <s:formula>AND(COLUMN()&gt;COLUMN($F$4),F4&lt;&gt;"",Q4&lt;F4)</s:formula>
    </s:cfRule>
  </s:conditionalFormatting>
  <s:conditionalFormatting sqref="R4:S35">
    <s:cfRule type="expression" dxfId="64" priority="174">
      <s:formula>AND(COLUMN()&gt;COLUMN($F$4),F4&lt;&gt;"",R4&gt;F4)</s:formula>
    </s:cfRule>
    <s:cfRule type="expression" dxfId="63" priority="175">
      <s:formula>AND(COLUMN()&gt;COLUMN($F$4),F4&lt;&gt;"",R4&lt;F4)</s:formula>
    </s:cfRule>
  </s:conditionalFormatting>
  <s:conditionalFormatting sqref="T4:T35">
    <s:cfRule type="expression" dxfId="62" priority="186">
      <s:formula>AND(COLUMN()&gt;COLUMN($F$4),G4&lt;&gt;"",T4&gt;G4)</s:formula>
    </s:cfRule>
    <s:cfRule type="expression" dxfId="61" priority="188">
      <s:formula>AND(COLUMN()&gt;COLUMN($F$4),G4&lt;&gt;"",T4&lt;G4)</s:formula>
    </s:cfRule>
  </s:conditionalFormatting>
  <s:conditionalFormatting sqref="U4:V35">
    <s:cfRule type="expression" dxfId="60" priority="202">
      <s:formula>AND(COLUMN()&gt;COLUMN($F$4),G4&lt;&gt;"",U4&gt;G4)</s:formula>
    </s:cfRule>
    <s:cfRule type="expression" dxfId="59" priority="203">
      <s:formula>AND(COLUMN()&gt;COLUMN($F$4),G4&lt;&gt;"",U4&lt;G4)</s:formula>
    </s:cfRule>
  </s:conditionalFormatting>
  <s:conditionalFormatting sqref="W4:W35">
    <s:cfRule type="expression" dxfId="58" priority="214">
      <s:formula>AND(COLUMN()&gt;COLUMN($F$4),H4&lt;&gt;"",W4&gt;H4)</s:formula>
    </s:cfRule>
    <s:cfRule type="expression" dxfId="57" priority="216">
      <s:formula>AND(COLUMN()&gt;COLUMN($F$4),H4&lt;&gt;"",W4&lt;H4)</s:formula>
    </s:cfRule>
  </s:conditionalFormatting>
  <s:conditionalFormatting sqref="X4:Y35">
    <s:cfRule type="expression" dxfId="56" priority="230">
      <s:formula>AND(COLUMN()&gt;COLUMN($F$4),H4&lt;&gt;"",X4&gt;H4)</s:formula>
    </s:cfRule>
    <s:cfRule type="expression" dxfId="55" priority="231">
      <s:formula>AND(COLUMN()&gt;COLUMN($F$4),H4&lt;&gt;"",X4&lt;H4)</s:formula>
    </s:cfRule>
  </s:conditionalFormatting>
  <s:conditionalFormatting sqref="Z4:Z35">
    <s:cfRule type="expression" dxfId="54" priority="242">
      <s:formula>AND(COLUMN()&gt;COLUMN($F$4),I4&lt;&gt;"",Z4&gt;I4)</s:formula>
    </s:cfRule>
    <s:cfRule type="expression" dxfId="53" priority="244">
      <s:formula>AND(COLUMN()&gt;COLUMN($F$4),I4&lt;&gt;"",Z4&lt;I4)</s:formula>
    </s:cfRule>
  </s:conditionalFormatting>
  <s:conditionalFormatting sqref="AA4:AB35">
    <s:cfRule type="expression" dxfId="52" priority="258">
      <s:formula>AND(COLUMN()&gt;COLUMN($F$4),I4&lt;&gt;"",AA4&gt;I4)</s:formula>
    </s:cfRule>
    <s:cfRule type="expression" dxfId="51" priority="259">
      <s:formula>AND(COLUMN()&gt;COLUMN($F$4),I4&lt;&gt;"",AA4&lt;I4)</s:formula>
    </s:cfRule>
  </s:conditionalFormatting>
  <s:conditionalFormatting sqref="AC4:AC35">
    <s:cfRule type="expression" dxfId="50" priority="270">
      <s:formula>AND(COLUMN()&gt;COLUMN($F$4),J4&lt;&gt;"",AC4&gt;J4)</s:formula>
    </s:cfRule>
    <s:cfRule type="expression" dxfId="49" priority="272">
      <s:formula>AND(COLUMN()&gt;COLUMN($F$4),J4&lt;&gt;"",AC4&lt;J4)</s:formula>
    </s:cfRule>
  </s:conditionalFormatting>
  <s:conditionalFormatting sqref="AD4:AF35">
    <s:cfRule type="expression" dxfId="48" priority="286">
      <s:formula>AND(COLUMN()&gt;COLUMN($F$4),J4&lt;&gt;"",AD4&gt;J4)</s:formula>
    </s:cfRule>
    <s:cfRule type="expression" dxfId="47" priority="287">
      <s:formula>AND(COLUMN()&gt;COLUMN($F$4),J4&lt;&gt;"",AD4&lt;J4)</s:formula>
    </s:cfRule>
  </s:conditionalFormatting>
  <s:conditionalFormatting sqref="AG4:AI35">
    <s:cfRule type="expression" dxfId="46" priority="298">
      <s:formula>AND(COLUMN()&gt;COLUMN($F$4),K4&lt;&gt;"",AG4&gt;K4)</s:formula>
    </s:cfRule>
    <s:cfRule type="expression" dxfId="45" priority="300">
      <s:formula>AND(COLUMN()&gt;COLUMN($F$4),K4&lt;&gt;"",AG4&lt;K4)</s:formula>
    </s:cfRule>
  </s:conditionalFormatting>
  <s:conditionalFormatting sqref="AJ4:AL35">
    <s:cfRule type="expression" dxfId="44" priority="311">
      <s:formula>AND(COLUMN()&gt;COLUMN($F$4),L4&lt;&gt;"",AJ4&gt;L4)</s:formula>
    </s:cfRule>
    <s:cfRule type="expression" dxfId="43" priority="313">
      <s:formula>AND(COLUMN()&gt;COLUMN($F$4),L4&lt;&gt;"",AJ4&lt;L4)</s:formula>
    </s:cfRule>
  </s:conditionalFormatting>
  <s:conditionalFormatting sqref="AM4:AO35">
    <s:cfRule type="expression" dxfId="42" priority="324">
      <s:formula>AND(COLUMN()&gt;COLUMN($F$4),M4&lt;&gt;"",AM4&gt;M4)</s:formula>
    </s:cfRule>
    <s:cfRule type="expression" dxfId="41" priority="326">
      <s:formula>AND(COLUMN()&gt;COLUMN($F$4),M4&lt;&gt;"",AM4&lt;M4)</s:formula>
    </s:cfRule>
  </s:conditionalFormatting>
  <s:conditionalFormatting sqref="AP4:AR35">
    <s:cfRule type="expression" dxfId="40" priority="337">
      <s:formula>AND(COLUMN()&gt;COLUMN($F$4),N4&lt;&gt;"",AP4&gt;N4)</s:formula>
    </s:cfRule>
    <s:cfRule type="expression" dxfId="39" priority="339">
      <s:formula>AND(COLUMN()&gt;COLUMN($F$4),N4&lt;&gt;"",AP4&lt;N4)</s:formula>
    </s:cfRule>
  </s:conditionalFormatting>
  <s:conditionalFormatting sqref="AS4:AU35">
    <s:cfRule type="expression" dxfId="38" priority="350">
      <s:formula>AND(COLUMN()&gt;COLUMN($F$4),O4&lt;&gt;"",AS4&gt;O4)</s:formula>
    </s:cfRule>
    <s:cfRule type="expression" dxfId="37" priority="352">
      <s:formula>AND(COLUMN()&gt;COLUMN($F$4),O4&lt;&gt;"",AS4&lt;O4)</s:formula>
    </s:cfRule>
  </s:conditionalFormatting>
  <s:conditionalFormatting sqref="AV4:AX35">
    <s:cfRule type="expression" dxfId="36" priority="363">
      <s:formula>AND(COLUMN()&gt;COLUMN($F$4),P4&lt;&gt;"",AV4&gt;P4)</s:formula>
    </s:cfRule>
    <s:cfRule type="expression" dxfId="35" priority="365">
      <s:formula>AND(COLUMN()&gt;COLUMN($F$4),P4&lt;&gt;"",AV4&lt;P4)</s:formula>
    </s:cfRule>
  </s:conditionalFormatting>
  <s:conditionalFormatting sqref="AY4:BA35">
    <s:cfRule type="expression" dxfId="34" priority="376">
      <s:formula>AND(COLUMN()&gt;COLUMN($F$4),Q4&lt;&gt;"",AY4&gt;Q4)</s:formula>
    </s:cfRule>
    <s:cfRule type="expression" dxfId="33" priority="378">
      <s:formula>AND(COLUMN()&gt;COLUMN($F$4),Q4&lt;&gt;"",AY4&lt;Q4)</s:formula>
    </s:cfRule>
  </s:conditionalFormatting>
  <s:conditionalFormatting sqref="BB4:BD35">
    <s:cfRule type="expression" dxfId="32" priority="389">
      <s:formula>AND(COLUMN()&gt;COLUMN($F$4),R4&lt;&gt;"",BB4&gt;R4)</s:formula>
    </s:cfRule>
    <s:cfRule type="expression" dxfId="31" priority="391">
      <s:formula>AND(COLUMN()&gt;COLUMN($F$4),R4&lt;&gt;"",BB4&lt;R4)</s:formula>
    </s:cfRule>
  </s:conditionalFormatting>
  <s:conditionalFormatting sqref="BE4:BG35">
    <s:cfRule type="expression" dxfId="30" priority="402">
      <s:formula>AND(COLUMN()&gt;COLUMN($F$4),S4&lt;&gt;"",BE4&gt;S4)</s:formula>
    </s:cfRule>
    <s:cfRule type="expression" dxfId="29" priority="404">
      <s:formula>AND(COLUMN()&gt;COLUMN($F$4),S4&lt;&gt;"",BE4&lt;S4)</s:formula>
    </s:cfRule>
  </s:conditionalFormatting>
  <s:conditionalFormatting sqref="BH4:BJ35">
    <s:cfRule type="expression" dxfId="28" priority="415">
      <s:formula>AND(COLUMN()&gt;COLUMN($F$4),T4&lt;&gt;"",BH4&gt;T4)</s:formula>
    </s:cfRule>
    <s:cfRule type="expression" dxfId="27" priority="417">
      <s:formula>AND(COLUMN()&gt;COLUMN($F$4),T4&lt;&gt;"",BH4&lt;T4)</s:formula>
    </s:cfRule>
  </s:conditionalFormatting>
  <s:conditionalFormatting sqref="BK4:BM35">
    <s:cfRule type="expression" dxfId="26" priority="428">
      <s:formula>AND(COLUMN()&gt;COLUMN($F$4),U4&lt;&gt;"",BK4&gt;U4)</s:formula>
    </s:cfRule>
    <s:cfRule type="expression" dxfId="25" priority="430">
      <s:formula>AND(COLUMN()&gt;COLUMN($F$4),U4&lt;&gt;"",BK4&lt;U4)</s:formula>
    </s:cfRule>
  </s:conditionalFormatting>
  <s:conditionalFormatting sqref="BN4:BP35">
    <s:cfRule type="expression" dxfId="24" priority="441">
      <s:formula>AND(COLUMN()&gt;COLUMN($F$4),V4&lt;&gt;"",BN4&gt;V4)</s:formula>
    </s:cfRule>
    <s:cfRule type="expression" dxfId="23" priority="443">
      <s:formula>AND(COLUMN()&gt;COLUMN($F$4),V4&lt;&gt;"",BN4&lt;V4)</s:formula>
    </s:cfRule>
  </s:conditionalFormatting>
  <s:conditionalFormatting sqref="BQ4:BS35">
    <s:cfRule type="expression" dxfId="22" priority="454">
      <s:formula>AND(COLUMN()&gt;COLUMN($F$4),W4&lt;&gt;"",BQ4&gt;W4)</s:formula>
    </s:cfRule>
    <s:cfRule type="expression" dxfId="21" priority="456">
      <s:formula>AND(COLUMN()&gt;COLUMN($F$4),W4&lt;&gt;"",BQ4&lt;W4)</s:formula>
    </s:cfRule>
  </s:conditionalFormatting>
  <s:conditionalFormatting sqref="BT4:BV35">
    <s:cfRule type="expression" dxfId="20" priority="467">
      <s:formula>AND(COLUMN()&gt;COLUMN($F$4),X4&lt;&gt;"",BT4&gt;X4)</s:formula>
    </s:cfRule>
    <s:cfRule type="expression" dxfId="19" priority="469">
      <s:formula>AND(COLUMN()&gt;COLUMN($F$4),X4&lt;&gt;"",BT4&lt;X4)</s:formula>
    </s:cfRule>
  </s:conditionalFormatting>
  <s:conditionalFormatting sqref="BW4:BY35">
    <s:cfRule type="expression" dxfId="18" priority="480">
      <s:formula>AND(COLUMN()&gt;COLUMN($F$4),Y4&lt;&gt;"",BW4&gt;Y4)</s:formula>
    </s:cfRule>
    <s:cfRule type="expression" dxfId="17" priority="482">
      <s:formula>AND(COLUMN()&gt;COLUMN($F$4),Y4&lt;&gt;"",BW4&lt;Y4)</s:formula>
    </s:cfRule>
  </s:conditionalFormatting>
  <s:conditionalFormatting sqref="BZ4:CB35">
    <s:cfRule type="expression" dxfId="16" priority="493">
      <s:formula>AND(COLUMN()&gt;COLUMN($F$4),Z4&lt;&gt;"",BZ4&gt;Z4)</s:formula>
    </s:cfRule>
    <s:cfRule type="expression" dxfId="15" priority="495">
      <s:formula>AND(COLUMN()&gt;COLUMN($F$4),Z4&lt;&gt;"",BZ4&lt;Z4)</s:formula>
    </s:cfRule>
  </s:conditionalFormatting>
  <s:conditionalFormatting sqref="CC4:CE35">
    <s:cfRule type="expression" dxfId="14" priority="506">
      <s:formula>AND(COLUMN()&gt;COLUMN($F$4),AA4&lt;&gt;"",CC4&gt;AA4)</s:formula>
    </s:cfRule>
    <s:cfRule type="expression" dxfId="13" priority="508">
      <s:formula>AND(COLUMN()&gt;COLUMN($F$4),AA4&lt;&gt;"",CC4&lt;AA4)</s:formula>
    </s:cfRule>
  </s:conditionalFormatting>
  <s:conditionalFormatting sqref="CF4:CH35">
    <s:cfRule type="expression" dxfId="12" priority="519">
      <s:formula>AND(COLUMN()&gt;COLUMN($F$4),AB4&lt;&gt;"",CF4&gt;AB4)</s:formula>
    </s:cfRule>
    <s:cfRule type="expression" dxfId="11" priority="521">
      <s:formula>AND(COLUMN()&gt;COLUMN($F$4),AB4&lt;&gt;"",CF4&lt;AB4)</s:formula>
    </s:cfRule>
  </s:conditionalFormatting>
  <s:conditionalFormatting sqref="CI4:CK35">
    <s:cfRule type="expression" dxfId="10" priority="532">
      <s:formula>AND(COLUMN()&gt;COLUMN($F$4),AC4&lt;&gt;"",CI4&gt;AC4)</s:formula>
    </s:cfRule>
    <s:cfRule type="expression" dxfId="9" priority="534">
      <s:formula>AND(COLUMN()&gt;COLUMN($F$4),AC4&lt;&gt;"",CI4&lt;AC4)</s:formula>
    </s:cfRule>
  </s:conditionalFormatting>
  <s:conditionalFormatting sqref="CL4:CN35">
    <s:cfRule type="expression" dxfId="8" priority="545">
      <s:formula>AND(COLUMN()&gt;COLUMN($F$4),AD4&lt;&gt;"",CL4&gt;AD4)</s:formula>
    </s:cfRule>
    <s:cfRule type="expression" dxfId="7" priority="547">
      <s:formula>AND(COLUMN()&gt;COLUMN($F$4),AD4&lt;&gt;"",CL4&lt;AD4)</s:formula>
    </s:cfRule>
  </s:conditionalFormatting>
  <s:conditionalFormatting sqref="CO4:CQ35">
    <s:cfRule type="expression" dxfId="6" priority="558">
      <s:formula>AND(COLUMN()&gt;COLUMN($F$4),AE4&lt;&gt;"",CO4&gt;AE4)</s:formula>
    </s:cfRule>
    <s:cfRule type="expression" dxfId="5" priority="560">
      <s:formula>AND(COLUMN()&gt;COLUMN($F$4),AE4&lt;&gt;"",CO4&lt;AE4)</s:formula>
    </s:cfRule>
  </s:conditionalFormatting>
  <s:conditionalFormatting sqref="CR4:CR35">
    <s:cfRule type="expression" dxfId="4" priority="571">
      <s:formula>AND(COLUMN()&gt;COLUMN($F$4),AF4&lt;&gt;"",CR4&gt;AF4)</s:formula>
    </s:cfRule>
    <s:cfRule type="expression" dxfId="3" priority="573">
      <s:formula>AND(COLUMN()&gt;COLUMN($F$4),AF4&lt;&gt;"",CR4&lt;AF4)</s:formula>
    </s:cfRule>
  </s:conditionalFormatting>
  <s:dataValidations disablePrompts="1" count="2">
    <s:dataValidation xr:uid="{13D5598A-5115-43E4-BB63-87C5B75549BC}" type="list" allowBlank="1" showInputMessage="1" showErrorMessage="1" sqref="C4:C35" vyd:viewType="arrow" mc:Ignorable="vyd">
      <s:formula1>$C$53:$C$55</s:formula1>
    </s:dataValidation>
    <s:dataValidation type="list" allowBlank="1" showInputMessage="1" showErrorMessage="1" sqref="CW47:CW54" vyd:viewType="arrow" mc:Ignorable="vyd">
      <s:formula1>"безнал,наличные"</s:formula1>
    </s:dataValidation>
  </s:dataValidations>
  <s:pageMargins left="0.7" right="0.7" top="0.75" bottom="0.75" header="0.3" footer="0.3"/>
  <s:pageSetup paperSize="9" orientation="portrait" r:id="rId1"/>
  <s:legacyDrawing r:id="rId2"/>
</s:worksheet>
</file>

<file path=xl/worksheets/sheet4.xml><?xml version="1.0" encoding="utf-8"?>
<s:worksheet xmlns:s="http://schemas.openxmlformats.org/spreadsheetml/2006/main" xmlns:r="http://schemas.openxmlformats.org/officeDocument/2006/relationships" xmlns:vyd="http://volga.yandex.com/schemas/document/model" xmlns:mc="http://schemas.openxmlformats.org/markup-compatibility/2006" xmlns:x14ac="http://schemas.microsoft.com/office/spreadsheetml/2009/9/ac">
  <s:dimension ref="A1:DC56"/>
  <s:sheetViews>
    <s:sheetView tabSelected="0" zoomScale="50" zoomScaleNormal="50" workbookViewId="0">
      <s:pane xSplit="3" topLeftCell="D1" activePane="topRight" state="frozen"/>
      <s:selection pane="topRight" activeCell="CH45" sqref="CH45"/>
    </s:sheetView>
  </s:sheetViews>
  <s:sheetFormatPr x14ac:dyDescent="0.3" defaultColWidth="10" defaultRowHeight="14.4"/>
  <s:cols>
    <s:col min="1" max="1" width="8.07" bestFit="1" customWidth="1"/>
    <s:col min="2" max="2" width="45.441" customWidth="1"/>
    <s:col min="3" max="3" width="15.332" style="4" customWidth="1"/>
    <s:col min="4" max="4" width="7.887" style="4" customWidth="1"/>
    <s:col min="5" max="96" width="6.441" style="4" customWidth="1"/>
    <s:col min="97" max="97" width="10.109" style="4" bestFit="1" customWidth="1"/>
    <s:col min="98" max="99" width="11" style="4" customWidth="1"/>
    <s:col min="100" max="100" width="19.887" style="4" customWidth="1"/>
    <s:col min="101" max="101" width="19.664" style="4" bestFit="1" customWidth="1"/>
    <s:col min="102" max="102" width="17.664" style="4" customWidth="1"/>
    <s:col min="103" max="103" width="19.109" customWidth="1"/>
    <s:col min="104" max="104" width="12.664" customWidth="1"/>
    <s:col min="106" max="107" width="10.332" bestFit="1" customWidth="1"/>
  </s:cols>
  <s:sheetData>
    <s:row r="1" ht="29.25">
      <s:c r="A1" s="5" t="s">
        <s:v>0</s:v>
      </s:c>
      <s:c r="B1" s="66" t="s">
        <s:v>27</s:v>
      </s:c>
      <s:c r="C1" s="6"/>
      <s:c r="D1" s="123" t="s">
        <s:v>53</s:v>
      </s:c>
      <s:c r="E1" s="6"/>
      <s:c r="F1" s="57"/>
      <s:c r="G1" s="123" t="s">
        <s:v>54</s:v>
      </s:c>
      <s:c r="H1" s="57"/>
      <s:c r="I1" s="57"/>
      <s:c r="J1" s="123" t="s">
        <s:v>55</s:v>
      </s:c>
      <s:c r="K1" s="57"/>
      <s:c r="L1" s="57"/>
      <s:c r="M1" s="57"/>
      <s:c r="N1" s="57"/>
      <s:c r="O1" s="57"/>
      <s:c r="P1" s="57"/>
      <s:c r="Q1" s="57"/>
      <s:c r="R1" s="57"/>
      <s:c r="S1" s="57"/>
      <s:c r="T1" s="57"/>
      <s:c r="U1" s="57"/>
      <s:c r="V1" s="57"/>
      <s:c r="W1" s="57"/>
      <s:c r="X1" s="57"/>
      <s:c r="Y1" s="57"/>
      <s:c r="Z1" s="57"/>
      <s:c r="AA1" s="57"/>
      <s:c r="AB1" s="57"/>
      <s:c r="AC1" s="57"/>
      <s:c r="AD1" s="57"/>
      <s:c r="AE1" s="57"/>
      <s:c r="AF1" s="57"/>
      <s:c r="AG1" s="58"/>
      <s:c r="AH1" s="58"/>
      <s:c r="AI1" s="58"/>
      <s:c r="AJ1" s="57"/>
      <s:c r="AK1" s="57"/>
      <s:c r="AL1" s="57"/>
      <s:c r="AM1" s="57"/>
      <s:c r="AN1" s="57"/>
      <s:c r="AO1" s="57"/>
      <s:c r="AP1" s="57"/>
      <s:c r="AQ1" s="57"/>
      <s:c r="AR1" s="57"/>
      <s:c r="AS1" s="57" t="s">
        <s:v>1</s:v>
      </s:c>
      <s:c r="AT1" s="57"/>
      <s:c r="AU1" s="57"/>
      <s:c r="AV1" s="57"/>
      <s:c r="AW1" s="57"/>
      <s:c r="AX1" s="57"/>
      <s:c r="AY1" s="164">
        <s:v>46054</s:v>
      </s:c>
      <s:c r="AZ1" s="164"/>
      <s:c r="BA1" s="164"/>
      <s:c r="BB1" s="164"/>
      <s:c r="BC1" s="164"/>
      <s:c r="BD1" s="164"/>
      <s:c r="BE1" s="164"/>
      <s:c r="BF1" s="164"/>
      <s:c r="BG1" s="164"/>
      <s:c r="BH1" s="164"/>
      <s:c r="BI1" s="59"/>
      <s:c r="BJ1" s="59"/>
      <s:c r="BK1" s="57"/>
      <s:c r="BL1" s="57"/>
      <s:c r="BM1" s="57"/>
      <s:c r="BN1" s="57"/>
      <s:c r="BO1" s="57"/>
      <s:c r="BP1" s="57"/>
      <s:c r="BQ1" s="57"/>
      <s:c r="BR1" s="57"/>
      <s:c r="BS1" s="57"/>
      <s:c r="BT1" s="57"/>
      <s:c r="BU1" s="57"/>
      <s:c r="BV1" s="57"/>
      <s:c r="BW1" s="57"/>
      <s:c r="BX1" s="57"/>
      <s:c r="BY1" s="57"/>
      <s:c r="BZ1" s="57"/>
      <s:c r="CA1" s="57"/>
      <s:c r="CB1" s="57"/>
      <s:c r="CC1" s="57"/>
      <s:c r="CD1" s="57"/>
      <s:c r="CE1" s="57"/>
      <s:c r="CF1" s="57"/>
      <s:c r="CG1" s="57"/>
      <s:c r="CH1" s="57"/>
      <s:c r="CI1" s="57"/>
      <s:c r="CJ1" s="57"/>
      <s:c r="CK1" s="57"/>
      <s:c r="CL1" s="57"/>
      <s:c r="CM1" s="57"/>
      <s:c r="CN1" s="57"/>
      <s:c r="CO1" s="57"/>
      <s:c r="CP1" s="57"/>
      <s:c r="CQ1" s="57"/>
      <s:c r="CR1" s="57"/>
      <s:c r="CS1" s="57"/>
      <s:c r="CT1" s="57"/>
      <s:c r="CU1" s="57"/>
      <s:c r="CV1" s="60"/>
      <s:c r="CW1" s="61"/>
      <s:c r="CX1" s="61"/>
    </s:row>
    <s:row r="2" ht="79.5">
      <s:c r="A2" s="7" t="s">
        <s:v>91</s:v>
      </s:c>
      <s:c r="B2" s="8" t="s">
        <s:v>4</s:v>
      </s:c>
      <s:c r="C2" s="126" t="s">
        <s:v>9</s:v>
      </s:c>
      <s:c r="D2" s="165">
        <s:f>IF(AY1&lt;&gt;0,AY1,"")</s:f>
        <s:v>46054</s:v>
      </s:c>
      <s:c r="E2" s="166"/>
      <s:c r="F2" s="167"/>
      <s:c r="G2" s="168">
        <s:f>IF(D2="","",D2+1)</s:f>
        <s:v>46055</s:v>
      </s:c>
      <s:c r="H2" s="166"/>
      <s:c r="I2" s="169"/>
      <s:c r="J2" s="165">
        <s:f>IF(G2="","",G2+1)</s:f>
        <s:v>46056</s:v>
      </s:c>
      <s:c r="K2" s="166"/>
      <s:c r="L2" s="167"/>
      <s:c r="M2" s="168">
        <s:f>IF(J2="","",J2+1)</s:f>
        <s:v>46057</s:v>
      </s:c>
      <s:c r="N2" s="166"/>
      <s:c r="O2" s="169"/>
      <s:c r="P2" s="165">
        <s:f>IF(M2="","",M2+1)</s:f>
        <s:v>46058</s:v>
      </s:c>
      <s:c r="Q2" s="166"/>
      <s:c r="R2" s="167"/>
      <s:c r="S2" s="168">
        <s:f>IF(P2="","",P2+1)</s:f>
        <s:v>46059</s:v>
      </s:c>
      <s:c r="T2" s="166"/>
      <s:c r="U2" s="169"/>
      <s:c r="V2" s="165">
        <s:f>IF(S2="","",S2+1)</s:f>
        <s:v>46060</s:v>
      </s:c>
      <s:c r="W2" s="166"/>
      <s:c r="X2" s="167"/>
      <s:c r="Y2" s="168">
        <s:f>IF(V2="","",V2+1)</s:f>
        <s:v>46061</s:v>
      </s:c>
      <s:c r="Z2" s="166"/>
      <s:c r="AA2" s="169"/>
      <s:c r="AB2" s="165">
        <s:f>IF(Y2="","",Y2+1)</s:f>
        <s:v>46062</s:v>
      </s:c>
      <s:c r="AC2" s="166"/>
      <s:c r="AD2" s="167"/>
      <s:c r="AE2" s="168">
        <s:f>IF(AB2="","",AB2+1)</s:f>
        <s:v>46063</s:v>
      </s:c>
      <s:c r="AF2" s="166"/>
      <s:c r="AG2" s="169"/>
      <s:c r="AH2" s="165">
        <s:f>IF(AE2="","",AE2+1)</s:f>
        <s:v>46064</s:v>
      </s:c>
      <s:c r="AI2" s="166"/>
      <s:c r="AJ2" s="167"/>
      <s:c r="AK2" s="168">
        <s:f>IF(AH2="","",AH2+1)</s:f>
        <s:v>46065</s:v>
      </s:c>
      <s:c r="AL2" s="166"/>
      <s:c r="AM2" s="169"/>
      <s:c r="AN2" s="165">
        <s:f>IF(AK2="","",AK2+1)</s:f>
        <s:v>46066</s:v>
      </s:c>
      <s:c r="AO2" s="166"/>
      <s:c r="AP2" s="167"/>
      <s:c r="AQ2" s="168">
        <s:f>IF(AN2="","",AN2+1)</s:f>
        <s:v>46067</s:v>
      </s:c>
      <s:c r="AR2" s="166"/>
      <s:c r="AS2" s="169"/>
      <s:c r="AT2" s="165">
        <s:f>IF(AQ2="","",AQ2+1)</s:f>
        <s:v>46068</s:v>
      </s:c>
      <s:c r="AU2" s="166"/>
      <s:c r="AV2" s="167"/>
      <s:c r="AW2" s="168">
        <s:f>IF(AT2="","",AT2+1)</s:f>
        <s:v>46069</s:v>
      </s:c>
      <s:c r="AX2" s="166"/>
      <s:c r="AY2" s="169"/>
      <s:c r="AZ2" s="165">
        <s:f>IF(AW2="","",AW2+1)</s:f>
        <s:v>46070</s:v>
      </s:c>
      <s:c r="BA2" s="166"/>
      <s:c r="BB2" s="167"/>
      <s:c r="BC2" s="168">
        <s:f>IF(AZ2="","",AZ2+1)</s:f>
        <s:v>46071</s:v>
      </s:c>
      <s:c r="BD2" s="166"/>
      <s:c r="BE2" s="169"/>
      <s:c r="BF2" s="165">
        <s:f>IF(BC2="","",BC2+1)</s:f>
        <s:v>46072</s:v>
      </s:c>
      <s:c r="BG2" s="166"/>
      <s:c r="BH2" s="167"/>
      <s:c r="BI2" s="168">
        <s:f>IF(BF2="","",BF2+1)</s:f>
        <s:v>46073</s:v>
      </s:c>
      <s:c r="BJ2" s="166"/>
      <s:c r="BK2" s="169"/>
      <s:c r="BL2" s="165">
        <s:f>IF(BI2="","",BI2+1)</s:f>
        <s:v>46074</s:v>
      </s:c>
      <s:c r="BM2" s="166"/>
      <s:c r="BN2" s="167"/>
      <s:c r="BO2" s="168">
        <s:f>IF(BL2="","",BL2+1)</s:f>
        <s:v>46075</s:v>
      </s:c>
      <s:c r="BP2" s="166"/>
      <s:c r="BQ2" s="169"/>
      <s:c r="BR2" s="165">
        <s:f>IF(BO2="","",BO2+1)</s:f>
        <s:v>46076</s:v>
      </s:c>
      <s:c r="BS2" s="166"/>
      <s:c r="BT2" s="167"/>
      <s:c r="BU2" s="168">
        <s:f>IF(BR2="","",BR2+1)</s:f>
        <s:v>46077</s:v>
      </s:c>
      <s:c r="BV2" s="166"/>
      <s:c r="BW2" s="169"/>
      <s:c r="BX2" s="165">
        <s:f>IF(BU2="","",BU2+1)</s:f>
        <s:v>46078</s:v>
      </s:c>
      <s:c r="BY2" s="166"/>
      <s:c r="BZ2" s="167"/>
      <s:c r="CA2" s="168">
        <s:f>IF(BX2="","",BX2+1)</s:f>
        <s:v>46079</s:v>
      </s:c>
      <s:c r="CB2" s="166"/>
      <s:c r="CC2" s="169"/>
      <s:c r="CD2" s="165">
        <s:f>IF(CA2="","",CA2+1)</s:f>
        <s:v>46080</s:v>
      </s:c>
      <s:c r="CE2" s="166"/>
      <s:c r="CF2" s="167"/>
      <s:c r="CG2" s="168">
        <s:f>IF(CD2="","",IF(CD2+1&gt;EOMONTH($AY$1,0),"",CD2+1))</s:f>
        <s:v>46081</s:v>
      </s:c>
      <s:c r="CH2" s="166"/>
      <s:c r="CI2" s="169"/>
      <s:c r="CJ2" s="165" t="str">
        <s:f>IF(CG2="","",IF(CG2+1&gt;EOMONTH($AY$1,0),"",CG2+1))</s:f>
        <s:v/>
      </s:c>
      <s:c r="CK2" s="166"/>
      <s:c r="CL2" s="167"/>
      <s:c r="CM2" s="168" t="str">
        <s:f>IF(CJ2="","",IF(CJ2+1&gt;EOMONTH($AY$1,0),"",CJ2+1))</s:f>
        <s:v/>
      </s:c>
      <s:c r="CN2" s="166"/>
      <s:c r="CO2" s="169"/>
      <s:c r="CP2" s="165" t="str">
        <s:f>IF(CM2="","",IF(CM2+1&gt;EOMONTH($AY$1,0),"",CM2+1))</s:f>
        <s:v/>
      </s:c>
      <s:c r="CQ2" s="166"/>
      <s:c r="CR2" s="167"/>
      <s:c r="CS2" s="9" t="s">
        <s:v>23</s:v>
      </s:c>
      <s:c r="CT2" s="10" t="s">
        <s:v>24</s:v>
      </s:c>
      <s:c r="CU2" s="10" t="s">
        <s:v>25</s:v>
      </s:c>
      <s:c r="CV2" s="11" t="s">
        <s:v>3</s:v>
      </s:c>
      <s:c r="CW2" s="12" t="s">
        <s:v>85</s:v>
      </s:c>
      <s:c r="CX2" s="13" t="s">
        <s:v>86</s:v>
      </s:c>
      <s:c r="CY2" s="13" t="s">
        <s:v>29</s:v>
      </s:c>
    </s:row>
    <s:row r="3" ht="21.75">
      <s:c r="A3" s="14"/>
      <s:c r="B3" s="15" t="s">
        <s:v>8</s:v>
      </s:c>
      <s:c r="C3" s="127" t="s">
        <s:v>60</s:v>
      </s:c>
      <s:c r="D3" s="16" t="s">
        <s:v>10</s:v>
      </s:c>
      <s:c r="E3" s="15" t="s">
        <s:v>11</s:v>
      </s:c>
      <s:c r="F3" s="17" t="s">
        <s:v>12</s:v>
      </s:c>
      <s:c r="G3" s="14" t="s">
        <s:v>10</s:v>
      </s:c>
      <s:c r="H3" s="15" t="s">
        <s:v>11</s:v>
      </s:c>
      <s:c r="I3" s="78" t="s">
        <s:v>12</s:v>
      </s:c>
      <s:c r="J3" s="16" t="s">
        <s:v>10</s:v>
      </s:c>
      <s:c r="K3" s="15" t="s">
        <s:v>11</s:v>
      </s:c>
      <s:c r="L3" s="17" t="s">
        <s:v>12</s:v>
      </s:c>
      <s:c r="M3" s="14" t="s">
        <s:v>10</s:v>
      </s:c>
      <s:c r="N3" s="15" t="s">
        <s:v>11</s:v>
      </s:c>
      <s:c r="O3" s="78" t="s">
        <s:v>12</s:v>
      </s:c>
      <s:c r="P3" s="16" t="s">
        <s:v>10</s:v>
      </s:c>
      <s:c r="Q3" s="15" t="s">
        <s:v>11</s:v>
      </s:c>
      <s:c r="R3" s="17" t="s">
        <s:v>12</s:v>
      </s:c>
      <s:c r="S3" s="14" t="s">
        <s:v>10</s:v>
      </s:c>
      <s:c r="T3" s="15" t="s">
        <s:v>11</s:v>
      </s:c>
      <s:c r="U3" s="78" t="s">
        <s:v>12</s:v>
      </s:c>
      <s:c r="V3" s="16" t="s">
        <s:v>10</s:v>
      </s:c>
      <s:c r="W3" s="15" t="s">
        <s:v>11</s:v>
      </s:c>
      <s:c r="X3" s="17" t="s">
        <s:v>12</s:v>
      </s:c>
      <s:c r="Y3" s="14" t="s">
        <s:v>10</s:v>
      </s:c>
      <s:c r="Z3" s="15" t="s">
        <s:v>11</s:v>
      </s:c>
      <s:c r="AA3" s="78" t="s">
        <s:v>12</s:v>
      </s:c>
      <s:c r="AB3" s="16" t="s">
        <s:v>10</s:v>
      </s:c>
      <s:c r="AC3" s="15" t="s">
        <s:v>11</s:v>
      </s:c>
      <s:c r="AD3" s="17" t="s">
        <s:v>12</s:v>
      </s:c>
      <s:c r="AE3" s="14" t="s">
        <s:v>10</s:v>
      </s:c>
      <s:c r="AF3" s="15" t="s">
        <s:v>11</s:v>
      </s:c>
      <s:c r="AG3" s="78" t="s">
        <s:v>12</s:v>
      </s:c>
      <s:c r="AH3" s="16" t="s">
        <s:v>10</s:v>
      </s:c>
      <s:c r="AI3" s="15" t="s">
        <s:v>11</s:v>
      </s:c>
      <s:c r="AJ3" s="17" t="s">
        <s:v>12</s:v>
      </s:c>
      <s:c r="AK3" s="14" t="s">
        <s:v>10</s:v>
      </s:c>
      <s:c r="AL3" s="15" t="s">
        <s:v>11</s:v>
      </s:c>
      <s:c r="AM3" s="78" t="s">
        <s:v>12</s:v>
      </s:c>
      <s:c r="AN3" s="16" t="s">
        <s:v>10</s:v>
      </s:c>
      <s:c r="AO3" s="15" t="s">
        <s:v>11</s:v>
      </s:c>
      <s:c r="AP3" s="17" t="s">
        <s:v>12</s:v>
      </s:c>
      <s:c r="AQ3" s="14" t="s">
        <s:v>10</s:v>
      </s:c>
      <s:c r="AR3" s="15" t="s">
        <s:v>11</s:v>
      </s:c>
      <s:c r="AS3" s="78" t="s">
        <s:v>12</s:v>
      </s:c>
      <s:c r="AT3" s="16" t="s">
        <s:v>10</s:v>
      </s:c>
      <s:c r="AU3" s="15" t="s">
        <s:v>11</s:v>
      </s:c>
      <s:c r="AV3" s="17" t="s">
        <s:v>12</s:v>
      </s:c>
      <s:c r="AW3" s="14" t="s">
        <s:v>10</s:v>
      </s:c>
      <s:c r="AX3" s="15" t="s">
        <s:v>11</s:v>
      </s:c>
      <s:c r="AY3" s="78" t="s">
        <s:v>12</s:v>
      </s:c>
      <s:c r="AZ3" s="16" t="s">
        <s:v>10</s:v>
      </s:c>
      <s:c r="BA3" s="15" t="s">
        <s:v>11</s:v>
      </s:c>
      <s:c r="BB3" s="17" t="s">
        <s:v>12</s:v>
      </s:c>
      <s:c r="BC3" s="14" t="s">
        <s:v>10</s:v>
      </s:c>
      <s:c r="BD3" s="15" t="s">
        <s:v>11</s:v>
      </s:c>
      <s:c r="BE3" s="78" t="s">
        <s:v>12</s:v>
      </s:c>
      <s:c r="BF3" s="16" t="s">
        <s:v>10</s:v>
      </s:c>
      <s:c r="BG3" s="15" t="s">
        <s:v>11</s:v>
      </s:c>
      <s:c r="BH3" s="17" t="s">
        <s:v>12</s:v>
      </s:c>
      <s:c r="BI3" s="14" t="s">
        <s:v>10</s:v>
      </s:c>
      <s:c r="BJ3" s="15" t="s">
        <s:v>11</s:v>
      </s:c>
      <s:c r="BK3" s="78" t="s">
        <s:v>12</s:v>
      </s:c>
      <s:c r="BL3" s="16" t="s">
        <s:v>10</s:v>
      </s:c>
      <s:c r="BM3" s="15" t="s">
        <s:v>11</s:v>
      </s:c>
      <s:c r="BN3" s="17" t="s">
        <s:v>12</s:v>
      </s:c>
      <s:c r="BO3" s="14" t="s">
        <s:v>10</s:v>
      </s:c>
      <s:c r="BP3" s="15" t="s">
        <s:v>11</s:v>
      </s:c>
      <s:c r="BQ3" s="78" t="s">
        <s:v>12</s:v>
      </s:c>
      <s:c r="BR3" s="16" t="s">
        <s:v>10</s:v>
      </s:c>
      <s:c r="BS3" s="15" t="s">
        <s:v>11</s:v>
      </s:c>
      <s:c r="BT3" s="17" t="s">
        <s:v>12</s:v>
      </s:c>
      <s:c r="BU3" s="14" t="s">
        <s:v>10</s:v>
      </s:c>
      <s:c r="BV3" s="15" t="s">
        <s:v>11</s:v>
      </s:c>
      <s:c r="BW3" s="78" t="s">
        <s:v>12</s:v>
      </s:c>
      <s:c r="BX3" s="16" t="s">
        <s:v>10</s:v>
      </s:c>
      <s:c r="BY3" s="15" t="s">
        <s:v>11</s:v>
      </s:c>
      <s:c r="BZ3" s="17" t="s">
        <s:v>12</s:v>
      </s:c>
      <s:c r="CA3" s="14" t="s">
        <s:v>10</s:v>
      </s:c>
      <s:c r="CB3" s="15" t="s">
        <s:v>11</s:v>
      </s:c>
      <s:c r="CC3" s="78" t="s">
        <s:v>12</s:v>
      </s:c>
      <s:c r="CD3" s="16" t="s">
        <s:v>10</s:v>
      </s:c>
      <s:c r="CE3" s="15" t="s">
        <s:v>11</s:v>
      </s:c>
      <s:c r="CF3" s="17" t="s">
        <s:v>12</s:v>
      </s:c>
      <s:c r="CG3" s="14" t="s">
        <s:v>10</s:v>
      </s:c>
      <s:c r="CH3" s="15" t="s">
        <s:v>11</s:v>
      </s:c>
      <s:c r="CI3" s="78" t="s">
        <s:v>12</s:v>
      </s:c>
      <s:c r="CJ3" s="16" t="s">
        <s:v>10</s:v>
      </s:c>
      <s:c r="CK3" s="15" t="s">
        <s:v>11</s:v>
      </s:c>
      <s:c r="CL3" s="17" t="s">
        <s:v>12</s:v>
      </s:c>
      <s:c r="CM3" s="14" t="s">
        <s:v>10</s:v>
      </s:c>
      <s:c r="CN3" s="15" t="s">
        <s:v>11</s:v>
      </s:c>
      <s:c r="CO3" s="78" t="s">
        <s:v>12</s:v>
      </s:c>
      <s:c r="CP3" s="16" t="s">
        <s:v>10</s:v>
      </s:c>
      <s:c r="CQ3" s="15" t="s">
        <s:v>11</s:v>
      </s:c>
      <s:c r="CR3" s="17" t="s">
        <s:v>12</s:v>
      </s:c>
      <s:c r="CS3" s="18" t="s">
        <s:v>10</s:v>
      </s:c>
      <s:c r="CT3" s="19" t="s">
        <s:v>11</s:v>
      </s:c>
      <s:c r="CU3" s="19" t="s">
        <s:v>12</s:v>
      </s:c>
      <s:c r="CV3" s="20"/>
      <s:c r="CW3" s="21"/>
      <s:c r="CX3" s="22"/>
      <s:c r="CY3" s="22"/>
    </s:row>
    <s:row r="4" ht="21.75">
      <s:c r="A4" s="23"/>
      <s:c r="B4" s="24" t="s">
        <s:v>101</s:v>
      </s:c>
      <s:c r="C4" s="25" t="s">
        <s:v>18</s:v>
      </s:c>
      <s:c r="D4" s="49"/>
      <s:c r="E4" s="50"/>
      <s:c r="F4" s="74"/>
      <s:c r="G4" s="79"/>
      <s:c r="H4" s="26"/>
      <s:c r="I4" s="80"/>
      <s:c r="J4" s="76"/>
      <s:c r="K4" s="26"/>
      <s:c r="L4" s="27"/>
      <s:c r="M4" s="79"/>
      <s:c r="N4" s="26"/>
      <s:c r="O4" s="80"/>
      <s:c r="P4" s="76"/>
      <s:c r="Q4" s="26"/>
      <s:c r="R4" s="27"/>
      <s:c r="S4" s="79"/>
      <s:c r="T4" s="26"/>
      <s:c r="U4" s="80"/>
      <s:c r="V4" s="76"/>
      <s:c r="W4" s="26"/>
      <s:c r="X4" s="27"/>
      <s:c r="Y4" s="79"/>
      <s:c r="Z4" s="26"/>
      <s:c r="AA4" s="80"/>
      <s:c r="AB4" s="76"/>
      <s:c r="AC4" s="26"/>
      <s:c r="AD4" s="27"/>
      <s:c r="AE4" s="79"/>
      <s:c r="AF4" s="26"/>
      <s:c r="AG4" s="80"/>
      <s:c r="AH4" s="76"/>
      <s:c r="AI4" s="26"/>
      <s:c r="AJ4" s="27"/>
      <s:c r="AK4" s="79"/>
      <s:c r="AL4" s="26"/>
      <s:c r="AM4" s="80"/>
      <s:c r="AN4" s="76"/>
      <s:c r="AO4" s="26"/>
      <s:c r="AP4" s="27"/>
      <s:c r="AQ4" s="79"/>
      <s:c r="AR4" s="26"/>
      <s:c r="AS4" s="80"/>
      <s:c r="AT4" s="76"/>
      <s:c r="AU4" s="26"/>
      <s:c r="AV4" s="27"/>
      <s:c r="AW4" s="79"/>
      <s:c r="AX4" s="26"/>
      <s:c r="AY4" s="80"/>
      <s:c r="AZ4" s="76"/>
      <s:c r="BA4" s="26"/>
      <s:c r="BB4" s="27"/>
      <s:c r="BC4" s="79"/>
      <s:c r="BD4" s="26"/>
      <s:c r="BE4" s="80"/>
      <s:c r="BF4" s="76"/>
      <s:c r="BG4" s="26"/>
      <s:c r="BH4" s="27"/>
      <s:c r="BI4" s="79"/>
      <s:c r="BJ4" s="26"/>
      <s:c r="BK4" s="80"/>
      <s:c r="BL4" s="76"/>
      <s:c r="BM4" s="26"/>
      <s:c r="BN4" s="27"/>
      <s:c r="BO4" s="79"/>
      <s:c r="BP4" s="26"/>
      <s:c r="BQ4" s="80"/>
      <s:c r="BR4" s="76"/>
      <s:c r="BS4" s="26"/>
      <s:c r="BT4" s="27"/>
      <s:c r="BU4" s="79"/>
      <s:c r="BV4" s="26"/>
      <s:c r="BW4" s="80"/>
      <s:c r="BX4" s="76"/>
      <s:c r="BY4" s="26"/>
      <s:c r="BZ4" s="184">
        <s:v>14</s:v>
      </s:c>
      <s:c r="CA4" s="180">
        <s:v>14</s:v>
      </s:c>
      <s:c r="CB4" s="26"/>
      <s:c r="CC4" s="182">
        <s:v>14</s:v>
      </s:c>
      <s:c r="CD4" s="183">
        <s:v>14</s:v>
      </s:c>
      <s:c r="CE4" s="26"/>
      <s:c r="CF4" s="184">
        <s:v>14</s:v>
      </s:c>
      <s:c r="CG4" s="180">
        <s:v>14</s:v>
      </s:c>
      <s:c r="CH4" s="26"/>
      <s:c r="CI4" s="182">
        <s:v>14</s:v>
      </s:c>
      <s:c r="CJ4" s="76"/>
      <s:c r="CK4" s="26"/>
      <s:c r="CL4" s="27"/>
      <s:c r="CM4" s="79"/>
      <s:c r="CN4" s="26"/>
      <s:c r="CO4" s="80"/>
      <s:c r="CP4" s="76"/>
      <s:c r="CQ4" s="26"/>
      <s:c r="CR4" s="27"/>
      <s:c r="CS4" s="62">
        <s:f>SUMIFS(D4:CR4,$D$3:$CR$3,"З")</s:f>
        <s:v>42</s:v>
      </s:c>
      <s:c r="CT4" s="63">
        <s:f>SUMIFS(D4:CR4,$D$3:$CR$3,"О")</s:f>
        <s:v>0</s:v>
      </s:c>
      <s:c r="CU4" s="63">
        <s:f>SUMIFS(D4:CR4,$D$3:$CR$3,"У")</s:f>
        <s:v>56</s:v>
      </s:c>
      <s:c r="CV4" s="28">
        <s:f>IF(C4="Да",CS4*$D$46+CT4*$D$47+CU4*$D$48,CS4*$C$46+CT4*$C$47+CU4*$C$48)</s:f>
        <s:v>81200</s:v>
      </s:c>
      <s:c r="CW4" s="29">
        <s:f>IF(C4="Нет",CV4,"")</s:f>
        <s:v>81200</s:v>
      </s:c>
      <s:c r="CX4" s="30" t="str">
        <s:f>IF(C4="Да",CV4,"")</s:f>
        <s:v/>
      </s:c>
      <s:c r="CY4" s="30" t="str">
        <s:f>IF(C4="Налич",CV4,"")</s:f>
        <s:v/>
      </s:c>
    </s:row>
    <s:row r="5" ht="21.75">
      <s:c r="A5" s="23"/>
      <s:c r="B5" s="31" t="s">
        <s:v>102</s:v>
      </s:c>
      <s:c r="C5" s="32" t="s">
        <s:v>28</s:v>
      </s:c>
      <s:c r="D5" s="51"/>
      <s:c r="E5" s="52"/>
      <s:c r="F5" s="74"/>
      <s:c r="G5" s="79"/>
      <s:c r="H5" s="26"/>
      <s:c r="I5" s="80"/>
      <s:c r="J5" s="76"/>
      <s:c r="K5" s="26"/>
      <s:c r="L5" s="27"/>
      <s:c r="M5" s="79"/>
      <s:c r="N5" s="26"/>
      <s:c r="O5" s="80"/>
      <s:c r="P5" s="76"/>
      <s:c r="Q5" s="26"/>
      <s:c r="R5" s="27"/>
      <s:c r="S5" s="79"/>
      <s:c r="T5" s="26"/>
      <s:c r="U5" s="80"/>
      <s:c r="V5" s="76"/>
      <s:c r="W5" s="26"/>
      <s:c r="X5" s="27"/>
      <s:c r="Y5" s="79"/>
      <s:c r="Z5" s="26"/>
      <s:c r="AA5" s="80"/>
      <s:c r="AB5" s="76"/>
      <s:c r="AC5" s="26"/>
      <s:c r="AD5" s="27"/>
      <s:c r="AE5" s="79"/>
      <s:c r="AF5" s="26"/>
      <s:c r="AG5" s="80"/>
      <s:c r="AH5" s="76"/>
      <s:c r="AI5" s="26"/>
      <s:c r="AJ5" s="27"/>
      <s:c r="AK5" s="79"/>
      <s:c r="AL5" s="26"/>
      <s:c r="AM5" s="80"/>
      <s:c r="AN5" s="76"/>
      <s:c r="AO5" s="26"/>
      <s:c r="AP5" s="27"/>
      <s:c r="AQ5" s="79"/>
      <s:c r="AR5" s="26"/>
      <s:c r="AS5" s="80"/>
      <s:c r="AT5" s="76"/>
      <s:c r="AU5" s="26"/>
      <s:c r="AV5" s="27"/>
      <s:c r="AW5" s="79"/>
      <s:c r="AX5" s="26"/>
      <s:c r="AY5" s="80"/>
      <s:c r="AZ5" s="76"/>
      <s:c r="BA5" s="26"/>
      <s:c r="BB5" s="27"/>
      <s:c r="BC5" s="79"/>
      <s:c r="BD5" s="26"/>
      <s:c r="BE5" s="80"/>
      <s:c r="BF5" s="76"/>
      <s:c r="BG5" s="26"/>
      <s:c r="BH5" s="27"/>
      <s:c r="BI5" s="79"/>
      <s:c r="BJ5" s="26"/>
      <s:c r="BK5" s="80"/>
      <s:c r="BL5" s="76"/>
      <s:c r="BM5" s="26"/>
      <s:c r="BN5" s="27"/>
      <s:c r="BO5" s="79"/>
      <s:c r="BP5" s="26"/>
      <s:c r="BQ5" s="80"/>
      <s:c r="BR5" s="76"/>
      <s:c r="BS5" s="26"/>
      <s:c r="BT5" s="27"/>
      <s:c r="BU5" s="79"/>
      <s:c r="BV5" s="26"/>
      <s:c r="BW5" s="182">
        <s:v>13</s:v>
      </s:c>
      <s:c r="BX5" s="183">
        <s:v>13</s:v>
      </s:c>
      <s:c r="BY5" s="26"/>
      <s:c r="BZ5" s="184">
        <s:v>13</s:v>
      </s:c>
      <s:c r="CA5" s="180">
        <s:v>13</s:v>
      </s:c>
      <s:c r="CB5" s="26"/>
      <s:c r="CC5" s="182">
        <s:v>13</s:v>
      </s:c>
      <s:c r="CD5" s="183">
        <s:v>13</s:v>
      </s:c>
      <s:c r="CE5" s="26"/>
      <s:c r="CF5" s="184">
        <s:v>13</s:v>
      </s:c>
      <s:c r="CG5" s="180">
        <s:v>13</s:v>
      </s:c>
      <s:c r="CH5" s="26"/>
      <s:c r="CI5" s="182">
        <s:v>13</s:v>
      </s:c>
      <s:c r="CJ5" s="76"/>
      <s:c r="CK5" s="26"/>
      <s:c r="CL5" s="27"/>
      <s:c r="CM5" s="79"/>
      <s:c r="CN5" s="26"/>
      <s:c r="CO5" s="80"/>
      <s:c r="CP5" s="76"/>
      <s:c r="CQ5" s="26"/>
      <s:c r="CR5" s="27"/>
      <s:c r="CS5" s="62">
        <s:f>SUMIFS(D5:CR5,$D$3:$CR$3,"З")</s:f>
        <s:v>52</s:v>
      </s:c>
      <s:c r="CT5" s="63">
        <s:f>SUMIFS(D5:CR5,$D$3:$CR$3,"О")</s:f>
        <s:v>0</s:v>
      </s:c>
      <s:c r="CU5" s="63">
        <s:f>SUMIFS(D5:CR5,$D$3:$CR$3,"У")</s:f>
        <s:v>65</s:v>
      </s:c>
      <s:c r="CV5" s="28">
        <s:f>IF(C5="Да",CS5*$D$46+CT5*$D$47+CU5*$D$48,CS5*$C$46+CT5*$C$47+CU5*$C$48)</s:f>
        <s:v>96850</s:v>
      </s:c>
      <s:c r="CW5" s="29" t="str">
        <s:f>IF(C5="Нет",CV5,"")</s:f>
        <s:v/>
      </s:c>
      <s:c r="CX5" s="30" t="str">
        <s:f>IF(C5="Да",CV5,"")</s:f>
        <s:v/>
      </s:c>
      <s:c r="CY5" s="30">
        <s:f>IF(C5="Налич",CV5,"")</s:f>
        <s:v>96850</s:v>
      </s:c>
    </s:row>
    <s:row r="6" ht="21.75">
      <s:c r="A6" s="23"/>
      <s:c r="B6" s="24" t="s">
        <s:v>103</s:v>
      </s:c>
      <s:c r="C6" s="25" t="s">
        <s:v>18</s:v>
      </s:c>
      <s:c r="D6" s="49"/>
      <s:c r="E6" s="50"/>
      <s:c r="F6" s="74"/>
      <s:c r="G6" s="79"/>
      <s:c r="H6" s="26"/>
      <s:c r="I6" s="80"/>
      <s:c r="J6" s="76"/>
      <s:c r="K6" s="26"/>
      <s:c r="L6" s="27"/>
      <s:c r="M6" s="79"/>
      <s:c r="N6" s="26"/>
      <s:c r="O6" s="80"/>
      <s:c r="P6" s="76"/>
      <s:c r="Q6" s="26"/>
      <s:c r="R6" s="27"/>
      <s:c r="S6" s="79"/>
      <s:c r="T6" s="26"/>
      <s:c r="U6" s="80"/>
      <s:c r="V6" s="76"/>
      <s:c r="W6" s="26"/>
      <s:c r="X6" s="27"/>
      <s:c r="Y6" s="79"/>
      <s:c r="Z6" s="26"/>
      <s:c r="AA6" s="80"/>
      <s:c r="AB6" s="76"/>
      <s:c r="AC6" s="26"/>
      <s:c r="AD6" s="27"/>
      <s:c r="AE6" s="79"/>
      <s:c r="AF6" s="26"/>
      <s:c r="AG6" s="80"/>
      <s:c r="AH6" s="76"/>
      <s:c r="AI6" s="26"/>
      <s:c r="AJ6" s="27"/>
      <s:c r="AK6" s="79"/>
      <s:c r="AL6" s="26"/>
      <s:c r="AM6" s="80"/>
      <s:c r="AN6" s="76"/>
      <s:c r="AO6" s="26"/>
      <s:c r="AP6" s="27"/>
      <s:c r="AQ6" s="79"/>
      <s:c r="AR6" s="26"/>
      <s:c r="AS6" s="117"/>
      <s:c r="AT6" s="118"/>
      <s:c r="AU6" s="119"/>
      <s:c r="AV6" s="120"/>
      <s:c r="AW6" s="121"/>
      <s:c r="AX6" s="119"/>
      <s:c r="AY6" s="117"/>
      <s:c r="AZ6" s="118"/>
      <s:c r="BA6" s="119"/>
      <s:c r="BB6" s="120"/>
      <s:c r="BC6" s="121"/>
      <s:c r="BD6" s="26"/>
      <s:c r="BE6" s="80"/>
      <s:c r="BF6" s="76"/>
      <s:c r="BG6" s="26"/>
      <s:c r="BH6" s="27"/>
      <s:c r="BI6" s="79"/>
      <s:c r="BJ6" s="26"/>
      <s:c r="BK6" s="80"/>
      <s:c r="BL6" s="76"/>
      <s:c r="BM6" s="26"/>
      <s:c r="BN6" s="27"/>
      <s:c r="BO6" s="79"/>
      <s:c r="BP6" s="26"/>
      <s:c r="BQ6" s="80"/>
      <s:c r="BR6" s="76"/>
      <s:c r="BS6" s="26"/>
      <s:c r="BT6" s="27"/>
      <s:c r="BU6" s="79"/>
      <s:c r="BV6" s="26"/>
      <s:c r="BW6" s="182">
        <s:v>14</s:v>
      </s:c>
      <s:c r="BX6" s="183">
        <s:v>14</s:v>
      </s:c>
      <s:c r="BY6" s="181">
        <s:v>14</s:v>
      </s:c>
      <s:c r="BZ6" s="184">
        <s:v>14</s:v>
      </s:c>
      <s:c r="CA6" s="180">
        <s:v>14</s:v>
      </s:c>
      <s:c r="CB6" s="181">
        <s:v>14</s:v>
      </s:c>
      <s:c r="CC6" s="182">
        <s:v>14</s:v>
      </s:c>
      <s:c r="CD6" s="183">
        <s:v>14</s:v>
      </s:c>
      <s:c r="CE6" s="181">
        <s:v>14</s:v>
      </s:c>
      <s:c r="CF6" s="184">
        <s:v>14</s:v>
      </s:c>
      <s:c r="CG6" s="180">
        <s:v>14</s:v>
      </s:c>
      <s:c r="CH6" s="181">
        <s:v>14</s:v>
      </s:c>
      <s:c r="CI6" s="182">
        <s:v>14</s:v>
      </s:c>
      <s:c r="CJ6" s="76"/>
      <s:c r="CK6" s="26"/>
      <s:c r="CL6" s="27"/>
      <s:c r="CM6" s="79"/>
      <s:c r="CN6" s="26"/>
      <s:c r="CO6" s="80"/>
      <s:c r="CP6" s="76"/>
      <s:c r="CQ6" s="26"/>
      <s:c r="CR6" s="27"/>
      <s:c r="CS6" s="62">
        <s:f>SUMIFS(D6:CR6,$D$3:$CR$3,"З")</s:f>
        <s:v>56</s:v>
      </s:c>
      <s:c r="CT6" s="63">
        <s:f>SUMIFS(D6:CR6,$D$3:$CR$3,"О")</s:f>
        <s:v>56</s:v>
      </s:c>
      <s:c r="CU6" s="63">
        <s:f>SUMIFS(D6:CR6,$D$3:$CR$3,"У")</s:f>
        <s:v>70</s:v>
      </s:c>
      <s:c r="CV6" s="28">
        <s:f>IF(C6="Да",CS6*$D$46+CT6*$D$47+CU6*$D$48,CS6*$C$46+CT6*$C$47+CU6*$C$48)</s:f>
        <s:v>160300</s:v>
      </s:c>
      <s:c r="CW6" s="29">
        <s:f>IF(C6="Нет",CV6,"")</s:f>
        <s:v>160300</s:v>
      </s:c>
      <s:c r="CX6" s="30" t="str">
        <s:f>IF(C6="Да",CV6,"")</s:f>
        <s:v/>
      </s:c>
      <s:c r="CY6" s="30" t="str">
        <s:f>IF(C6="Налич",CV6,"")</s:f>
        <s:v/>
      </s:c>
      <s:c r="CZ6" s="122"/>
    </s:row>
    <s:row r="7" ht="21.75">
      <s:c r="A7" s="23"/>
      <s:c r="B7" s="24" t="s">
        <s:v>114</s:v>
      </s:c>
      <s:c r="C7" s="25" t="s">
        <s:v>18</s:v>
      </s:c>
      <s:c r="D7" s="49"/>
      <s:c r="E7" s="50"/>
      <s:c r="F7" s="74"/>
      <s:c r="G7" s="180"/>
      <s:c r="H7" s="26"/>
      <s:c r="I7" s="80"/>
      <s:c r="J7" s="183"/>
      <s:c r="K7" s="26"/>
      <s:c r="L7" s="27"/>
      <s:c r="M7" s="180"/>
      <s:c r="N7" s="26"/>
      <s:c r="O7" s="80"/>
      <s:c r="P7" s="76"/>
      <s:c r="Q7" s="26"/>
      <s:c r="R7" s="27"/>
      <s:c r="S7" s="79"/>
      <s:c r="T7" s="26"/>
      <s:c r="U7" s="80"/>
      <s:c r="V7" s="76"/>
      <s:c r="W7" s="26"/>
      <s:c r="X7" s="27"/>
      <s:c r="Y7" s="79"/>
      <s:c r="Z7" s="26"/>
      <s:c r="AA7" s="80"/>
      <s:c r="AB7" s="76"/>
      <s:c r="AC7" s="26"/>
      <s:c r="AD7" s="27"/>
      <s:c r="AE7" s="79"/>
      <s:c r="AF7" s="26"/>
      <s:c r="AG7" s="80"/>
      <s:c r="AH7" s="76"/>
      <s:c r="AI7" s="26"/>
      <s:c r="AJ7" s="27"/>
      <s:c r="AK7" s="79"/>
      <s:c r="AL7" s="26"/>
      <s:c r="AM7" s="80"/>
      <s:c r="AN7" s="76"/>
      <s:c r="AO7" s="26"/>
      <s:c r="AP7" s="27"/>
      <s:c r="AQ7" s="79"/>
      <s:c r="AR7" s="26"/>
      <s:c r="AS7" s="117"/>
      <s:c r="AT7" s="118"/>
      <s:c r="AU7" s="119"/>
      <s:c r="AV7" s="120"/>
      <s:c r="AW7" s="121"/>
      <s:c r="AX7" s="119"/>
      <s:c r="AY7" s="117"/>
      <s:c r="AZ7" s="118"/>
      <s:c r="BA7" s="26"/>
      <s:c r="BB7" s="27"/>
      <s:c r="BC7" s="79"/>
      <s:c r="BD7" s="26"/>
      <s:c r="BE7" s="80"/>
      <s:c r="BF7" s="183"/>
      <s:c r="BG7" s="26"/>
      <s:c r="BH7" s="27"/>
      <s:c r="BI7" s="79"/>
      <s:c r="BJ7" s="26"/>
      <s:c r="BK7" s="80"/>
      <s:c r="BL7" s="76"/>
      <s:c r="BM7" s="26"/>
      <s:c r="BN7" s="27"/>
      <s:c r="BO7" s="79"/>
      <s:c r="BP7" s="26"/>
      <s:c r="BQ7" s="80"/>
      <s:c r="BR7" s="118"/>
      <s:c r="BS7" s="119"/>
      <s:c r="BT7" s="120"/>
      <s:c r="BU7" s="121"/>
      <s:c r="BV7" s="119"/>
      <s:c r="BW7" s="80"/>
      <s:c r="BX7" s="183">
        <s:v>2</s:v>
      </s:c>
      <s:c r="BY7" s="26"/>
      <s:c r="BZ7" s="27"/>
      <s:c r="CA7" s="180">
        <s:v>2</s:v>
      </s:c>
      <s:c r="CB7" s="26"/>
      <s:c r="CC7" s="80"/>
      <s:c r="CD7" s="183">
        <s:v>2</s:v>
      </s:c>
      <s:c r="CE7" s="26"/>
      <s:c r="CF7" s="27"/>
      <s:c r="CG7" s="180">
        <s:v>2</s:v>
      </s:c>
      <s:c r="CH7" s="26"/>
      <s:c r="CI7" s="80"/>
      <s:c r="CJ7" s="76"/>
      <s:c r="CK7" s="26"/>
      <s:c r="CL7" s="27"/>
      <s:c r="CM7" s="79"/>
      <s:c r="CN7" s="26"/>
      <s:c r="CO7" s="80"/>
      <s:c r="CP7" s="76"/>
      <s:c r="CQ7" s="26"/>
      <s:c r="CR7" s="27"/>
      <s:c r="CS7" s="62">
        <s:f>SUMIFS(D7:CR7,$D$3:$CR$3,"З")</s:f>
        <s:v>8</s:v>
      </s:c>
      <s:c r="CT7" s="63">
        <s:f>SUMIFS(D7:CR7,$D$3:$CR$3,"О")</s:f>
        <s:v>0</s:v>
      </s:c>
      <s:c r="CU7" s="63">
        <s:f>SUMIFS(D7:CR7,$D$3:$CR$3,"У")</s:f>
        <s:v>0</s:v>
      </s:c>
      <s:c r="CV7" s="28">
        <s:f>IF(C7="Да",CS7*$D$46+CT7*$D$47+CU7*$D$48,CS7*$C$46+CT7*$C$47+CU7*$C$48)</s:f>
        <s:v>6400</s:v>
      </s:c>
      <s:c r="CW7" s="29">
        <s:f>IF(C7="Нет",CV7,"")</s:f>
        <s:v>6400</s:v>
      </s:c>
      <s:c r="CX7" s="30" t="str">
        <s:f>IF(C7="Да",CV7,"")</s:f>
        <s:v/>
      </s:c>
      <s:c r="CY7" s="30" t="str">
        <s:f>IF(C7="Налич",CV7,"")</s:f>
        <s:v/>
      </s:c>
      <s:c r="CZ7" s="122"/>
    </s:row>
    <s:row r="8" ht="21.75">
      <s:c r="A8" s="23"/>
      <s:c r="B8" s="24" t="s">
        <s:v>110</s:v>
      </s:c>
      <s:c r="C8" s="25" t="s">
        <s:v>18</s:v>
      </s:c>
      <s:c r="D8" s="49"/>
      <s:c r="E8" s="50"/>
      <s:c r="F8" s="74"/>
      <s:c r="G8" s="79"/>
      <s:c r="H8" s="26"/>
      <s:c r="I8" s="80"/>
      <s:c r="J8" s="76"/>
      <s:c r="K8" s="26"/>
      <s:c r="L8" s="27"/>
      <s:c r="M8" s="79"/>
      <s:c r="N8" s="26"/>
      <s:c r="O8" s="80"/>
      <s:c r="P8" s="76"/>
      <s:c r="Q8" s="26"/>
      <s:c r="R8" s="27"/>
      <s:c r="S8" s="79"/>
      <s:c r="T8" s="26"/>
      <s:c r="U8" s="80"/>
      <s:c r="V8" s="76"/>
      <s:c r="W8" s="26"/>
      <s:c r="X8" s="27"/>
      <s:c r="Y8" s="79"/>
      <s:c r="Z8" s="26"/>
      <s:c r="AA8" s="80"/>
      <s:c r="AB8" s="76"/>
      <s:c r="AC8" s="26"/>
      <s:c r="AD8" s="27"/>
      <s:c r="AE8" s="79"/>
      <s:c r="AF8" s="26"/>
      <s:c r="AG8" s="80"/>
      <s:c r="AH8" s="76"/>
      <s:c r="AI8" s="26"/>
      <s:c r="AJ8" s="27"/>
      <s:c r="AK8" s="79"/>
      <s:c r="AL8" s="26"/>
      <s:c r="AM8" s="80"/>
      <s:c r="AN8" s="76"/>
      <s:c r="AO8" s="26"/>
      <s:c r="AP8" s="27"/>
      <s:c r="AQ8" s="79"/>
      <s:c r="AR8" s="26"/>
      <s:c r="AS8" s="80"/>
      <s:c r="AT8" s="76"/>
      <s:c r="AU8" s="26"/>
      <s:c r="AV8" s="27"/>
      <s:c r="AW8" s="79"/>
      <s:c r="AX8" s="26"/>
      <s:c r="AY8" s="80"/>
      <s:c r="AZ8" s="76"/>
      <s:c r="BA8" s="26"/>
      <s:c r="BB8" s="27"/>
      <s:c r="BC8" s="79"/>
      <s:c r="BD8" s="26"/>
      <s:c r="BE8" s="80"/>
      <s:c r="BF8" s="76"/>
      <s:c r="BG8" s="26"/>
      <s:c r="BH8" s="27"/>
      <s:c r="BI8" s="79"/>
      <s:c r="BJ8" s="26"/>
      <s:c r="BK8" s="80"/>
      <s:c r="BL8" s="76"/>
      <s:c r="BM8" s="26"/>
      <s:c r="BN8" s="27"/>
      <s:c r="BO8" s="79"/>
      <s:c r="BP8" s="26"/>
      <s:c r="BQ8" s="80"/>
      <s:c r="BR8" s="76"/>
      <s:c r="BS8" s="26"/>
      <s:c r="BT8" s="27"/>
      <s:c r="BU8" s="79"/>
      <s:c r="BV8" s="26"/>
      <s:c r="BW8" s="80"/>
      <s:c r="BX8" s="183">
        <s:v>1</s:v>
      </s:c>
      <s:c r="BY8" s="26"/>
      <s:c r="BZ8" s="27"/>
      <s:c r="CA8" s="79"/>
      <s:c r="CB8" s="26"/>
      <s:c r="CC8" s="80"/>
      <s:c r="CD8" s="76"/>
      <s:c r="CE8" s="26"/>
      <s:c r="CF8" s="27"/>
      <s:c r="CG8" s="79"/>
      <s:c r="CH8" s="26"/>
      <s:c r="CI8" s="80"/>
      <s:c r="CJ8" s="76"/>
      <s:c r="CK8" s="26"/>
      <s:c r="CL8" s="27"/>
      <s:c r="CM8" s="79"/>
      <s:c r="CN8" s="26"/>
      <s:c r="CO8" s="80"/>
      <s:c r="CP8" s="76"/>
      <s:c r="CQ8" s="26"/>
      <s:c r="CR8" s="27"/>
      <s:c r="CS8" s="62">
        <s:f>SUMIFS(D8:CR8,$D$3:$CR$3,"З")</s:f>
        <s:v>1</s:v>
      </s:c>
      <s:c r="CT8" s="63">
        <s:f>SUMIFS(D8:CR8,$D$3:$CR$3,"О")</s:f>
        <s:v>0</s:v>
      </s:c>
      <s:c r="CU8" s="63">
        <s:f>SUMIFS(D8:CR8,$D$3:$CR$3,"У")</s:f>
        <s:v>0</s:v>
      </s:c>
      <s:c r="CV8" s="28">
        <s:f>IF(C8="Да",CS8*$D$46+CT8*$D$47+CU8*$D$48,CS8*$C$46+CT8*$C$47+CU8*$C$48)</s:f>
        <s:v>800</s:v>
      </s:c>
      <s:c r="CW8" s="29">
        <s:f>IF(C8="Нет",CV8,"")</s:f>
        <s:v>800</s:v>
      </s:c>
      <s:c r="CX8" s="30" t="str">
        <s:f>IF(C8="Да",CV8,"")</s:f>
        <s:v/>
      </s:c>
      <s:c r="CY8" s="30" t="str">
        <s:f>IF(C8="Налич",CV8,"")</s:f>
        <s:v/>
      </s:c>
      <s:c r="CZ8" s="122"/>
    </s:row>
    <s:row r="9" ht="21.75">
      <s:c r="A9" s="23"/>
      <s:c r="B9" s="24" t="s">
        <s:v>115</s:v>
      </s:c>
      <s:c r="C9" s="25" t="s">
        <s:v>18</s:v>
      </s:c>
      <s:c r="D9" s="49"/>
      <s:c r="E9" s="50"/>
      <s:c r="F9" s="74"/>
      <s:c r="G9" s="79"/>
      <s:c r="H9" s="26"/>
      <s:c r="I9" s="80"/>
      <s:c r="J9" s="76"/>
      <s:c r="K9" s="26"/>
      <s:c r="L9" s="27"/>
      <s:c r="M9" s="79"/>
      <s:c r="N9" s="26"/>
      <s:c r="O9" s="80"/>
      <s:c r="P9" s="76"/>
      <s:c r="Q9" s="26"/>
      <s:c r="R9" s="27"/>
      <s:c r="S9" s="79"/>
      <s:c r="T9" s="26"/>
      <s:c r="U9" s="80"/>
      <s:c r="V9" s="76"/>
      <s:c r="W9" s="26"/>
      <s:c r="X9" s="27"/>
      <s:c r="Y9" s="79"/>
      <s:c r="Z9" s="26"/>
      <s:c r="AA9" s="80"/>
      <s:c r="AB9" s="76"/>
      <s:c r="AC9" s="26"/>
      <s:c r="AD9" s="27"/>
      <s:c r="AE9" s="79"/>
      <s:c r="AF9" s="26"/>
      <s:c r="AG9" s="80"/>
      <s:c r="AH9" s="76"/>
      <s:c r="AI9" s="26"/>
      <s:c r="AJ9" s="27"/>
      <s:c r="AK9" s="79"/>
      <s:c r="AL9" s="26"/>
      <s:c r="AM9" s="80"/>
      <s:c r="AN9" s="76"/>
      <s:c r="AO9" s="26"/>
      <s:c r="AP9" s="27"/>
      <s:c r="AQ9" s="79"/>
      <s:c r="AR9" s="26"/>
      <s:c r="AS9" s="80"/>
      <s:c r="AT9" s="76"/>
      <s:c r="AU9" s="26"/>
      <s:c r="AV9" s="27"/>
      <s:c r="AW9" s="79"/>
      <s:c r="AX9" s="26"/>
      <s:c r="AY9" s="80"/>
      <s:c r="AZ9" s="76"/>
      <s:c r="BA9" s="26"/>
      <s:c r="BB9" s="27"/>
      <s:c r="BC9" s="79"/>
      <s:c r="BD9" s="26"/>
      <s:c r="BE9" s="80"/>
      <s:c r="BF9" s="76"/>
      <s:c r="BG9" s="26"/>
      <s:c r="BH9" s="27"/>
      <s:c r="BI9" s="79"/>
      <s:c r="BJ9" s="26"/>
      <s:c r="BK9" s="80"/>
      <s:c r="BL9" s="76"/>
      <s:c r="BM9" s="26"/>
      <s:c r="BN9" s="27"/>
      <s:c r="BO9" s="79"/>
      <s:c r="BP9" s="26"/>
      <s:c r="BQ9" s="80"/>
      <s:c r="BR9" s="76"/>
      <s:c r="BS9" s="26"/>
      <s:c r="BT9" s="27"/>
      <s:c r="BU9" s="79"/>
      <s:c r="BV9" s="26"/>
      <s:c r="BW9" s="80"/>
      <s:c r="BX9" s="183">
        <s:v>1</s:v>
      </s:c>
      <s:c r="BY9" s="26"/>
      <s:c r="BZ9" s="27"/>
      <s:c r="CA9" s="79"/>
      <s:c r="CB9" s="26"/>
      <s:c r="CC9" s="80"/>
      <s:c r="CD9" s="76"/>
      <s:c r="CE9" s="26"/>
      <s:c r="CF9" s="27"/>
      <s:c r="CG9" s="79"/>
      <s:c r="CH9" s="26"/>
      <s:c r="CI9" s="80"/>
      <s:c r="CJ9" s="76"/>
      <s:c r="CK9" s="26"/>
      <s:c r="CL9" s="27"/>
      <s:c r="CM9" s="79"/>
      <s:c r="CN9" s="26"/>
      <s:c r="CO9" s="80"/>
      <s:c r="CP9" s="76"/>
      <s:c r="CQ9" s="26"/>
      <s:c r="CR9" s="27"/>
      <s:c r="CS9" s="62">
        <s:f>SUMIFS(D9:CR9,$D$3:$CR$3,"З")</s:f>
        <s:v>1</s:v>
      </s:c>
      <s:c r="CT9" s="63">
        <s:f>SUMIFS(D9:CR9,$D$3:$CR$3,"О")</s:f>
        <s:v>0</s:v>
      </s:c>
      <s:c r="CU9" s="63">
        <s:f>SUMIFS(D9:CR9,$D$3:$CR$3,"У")</s:f>
        <s:v>0</s:v>
      </s:c>
      <s:c r="CV9" s="28">
        <s:f>IF(C9="Да",CS9*$D$46+CT9*$D$47+CU9*$D$48,CS9*$C$46+CT9*$C$47+CU9*$C$48)</s:f>
        <s:v>800</s:v>
      </s:c>
      <s:c r="CW9" s="29">
        <s:f>IF(C9="Нет",CV9,"")</s:f>
        <s:v>800</s:v>
      </s:c>
      <s:c r="CX9" s="30" t="str">
        <s:f>IF(C9="Да",CV9,"")</s:f>
        <s:v/>
      </s:c>
      <s:c r="CY9" s="30" t="str">
        <s:f>IF(C9="Налич",CV9,"")</s:f>
        <s:v/>
      </s:c>
      <s:c r="CZ9" s="122"/>
    </s:row>
    <s:row r="10" ht="21.75">
      <s:c r="A10" s="23"/>
      <s:c r="B10" s="24" t="s">
        <s:v>117</s:v>
      </s:c>
      <s:c r="C10" s="25" t="s">
        <s:v>18</s:v>
      </s:c>
      <s:c r="D10" s="49"/>
      <s:c r="E10" s="50"/>
      <s:c r="F10" s="74"/>
      <s:c r="G10" s="79"/>
      <s:c r="H10" s="26"/>
      <s:c r="I10" s="80"/>
      <s:c r="J10" s="76"/>
      <s:c r="K10" s="26"/>
      <s:c r="L10" s="27"/>
      <s:c r="M10" s="79"/>
      <s:c r="N10" s="26"/>
      <s:c r="O10" s="80"/>
      <s:c r="P10" s="76"/>
      <s:c r="Q10" s="26"/>
      <s:c r="R10" s="27"/>
      <s:c r="S10" s="79"/>
      <s:c r="T10" s="26"/>
      <s:c r="U10" s="80"/>
      <s:c r="V10" s="76"/>
      <s:c r="W10" s="26"/>
      <s:c r="X10" s="27"/>
      <s:c r="Y10" s="79"/>
      <s:c r="Z10" s="26"/>
      <s:c r="AA10" s="80"/>
      <s:c r="AB10" s="76"/>
      <s:c r="AC10" s="26"/>
      <s:c r="AD10" s="27"/>
      <s:c r="AE10" s="79"/>
      <s:c r="AF10" s="26"/>
      <s:c r="AG10" s="80"/>
      <s:c r="AH10" s="76"/>
      <s:c r="AI10" s="26"/>
      <s:c r="AJ10" s="27"/>
      <s:c r="AK10" s="79"/>
      <s:c r="AL10" s="26"/>
      <s:c r="AM10" s="80"/>
      <s:c r="AN10" s="76"/>
      <s:c r="AO10" s="26"/>
      <s:c r="AP10" s="27"/>
      <s:c r="AQ10" s="79"/>
      <s:c r="AR10" s="26"/>
      <s:c r="AS10" s="80"/>
      <s:c r="AT10" s="76"/>
      <s:c r="AU10" s="26"/>
      <s:c r="AV10" s="27"/>
      <s:c r="AW10" s="79"/>
      <s:c r="AX10" s="26"/>
      <s:c r="AY10" s="80"/>
      <s:c r="AZ10" s="76"/>
      <s:c r="BA10" s="26"/>
      <s:c r="BB10" s="27"/>
      <s:c r="BC10" s="79"/>
      <s:c r="BD10" s="26"/>
      <s:c r="BE10" s="80"/>
      <s:c r="BF10" s="76"/>
      <s:c r="BG10" s="26"/>
      <s:c r="BH10" s="27"/>
      <s:c r="BI10" s="79"/>
      <s:c r="BJ10" s="26"/>
      <s:c r="BK10" s="80"/>
      <s:c r="BL10" s="76"/>
      <s:c r="BM10" s="26"/>
      <s:c r="BN10" s="27"/>
      <s:c r="BO10" s="79"/>
      <s:c r="BP10" s="26"/>
      <s:c r="BQ10" s="80"/>
      <s:c r="BR10" s="76"/>
      <s:c r="BS10" s="26"/>
      <s:c r="BT10" s="27"/>
      <s:c r="BU10" s="79"/>
      <s:c r="BV10" s="26"/>
      <s:c r="BW10" s="80"/>
      <s:c r="BX10" s="76"/>
      <s:c r="BY10" s="26"/>
      <s:c r="BZ10" s="27"/>
      <s:c r="CA10" s="79"/>
      <s:c r="CB10" s="26"/>
      <s:c r="CC10" s="80"/>
      <s:c r="CD10" s="76"/>
      <s:c r="CE10" s="26"/>
      <s:c r="CF10" s="184">
        <s:v>1</s:v>
      </s:c>
      <s:c r="CG10" s="180">
        <s:v>1</s:v>
      </s:c>
      <s:c r="CH10" s="26"/>
      <s:c r="CI10" s="80"/>
      <s:c r="CJ10" s="76"/>
      <s:c r="CK10" s="26"/>
      <s:c r="CL10" s="27"/>
      <s:c r="CM10" s="79"/>
      <s:c r="CN10" s="26"/>
      <s:c r="CO10" s="80"/>
      <s:c r="CP10" s="76"/>
      <s:c r="CQ10" s="26"/>
      <s:c r="CR10" s="27"/>
      <s:c r="CS10" s="62">
        <s:f>SUMIFS(D10:CR10,$D$3:$CR$3,"З")</s:f>
        <s:v>1</s:v>
      </s:c>
      <s:c r="CT10" s="63">
        <s:f>SUMIFS(D10:CR10,$D$3:$CR$3,"О")</s:f>
        <s:v>0</s:v>
      </s:c>
      <s:c r="CU10" s="63">
        <s:f>SUMIFS(D10:CR10,$D$3:$CR$3,"У")</s:f>
        <s:v>1</s:v>
      </s:c>
      <s:c r="CV10" s="28">
        <s:f>IF(C10="Да",CS10*$D$46+CT10*$D$47+CU10*$D$48,CS10*$C$46+CT10*$C$47+CU10*$C$48)</s:f>
        <s:v>1650</s:v>
      </s:c>
      <s:c r="CW10" s="29">
        <s:f>IF(C10="Нет",CV10,"")</s:f>
        <s:v>1650</s:v>
      </s:c>
      <s:c r="CX10" s="30" t="str">
        <s:f>IF(C10="Да",CV10,"")</s:f>
        <s:v/>
      </s:c>
      <s:c r="CY10" s="30" t="str">
        <s:f>IF(C10="Налич",CV10,"")</s:f>
        <s:v/>
      </s:c>
      <s:c r="CZ10" s="122"/>
    </s:row>
    <s:row r="11" ht="21.75">
      <s:c r="A11" s="23"/>
      <s:c r="B11" s="24"/>
      <s:c r="C11" s="25"/>
      <s:c r="D11" s="49"/>
      <s:c r="E11" s="50"/>
      <s:c r="F11" s="74"/>
      <s:c r="G11" s="79"/>
      <s:c r="H11" s="26"/>
      <s:c r="I11" s="80"/>
      <s:c r="J11" s="76"/>
      <s:c r="K11" s="26"/>
      <s:c r="L11" s="27"/>
      <s:c r="M11" s="79"/>
      <s:c r="N11" s="26"/>
      <s:c r="O11" s="80"/>
      <s:c r="P11" s="76"/>
      <s:c r="Q11" s="26"/>
      <s:c r="R11" s="27"/>
      <s:c r="S11" s="79"/>
      <s:c r="T11" s="26"/>
      <s:c r="U11" s="80"/>
      <s:c r="V11" s="76"/>
      <s:c r="W11" s="26"/>
      <s:c r="X11" s="27"/>
      <s:c r="Y11" s="79"/>
      <s:c r="Z11" s="26"/>
      <s:c r="AA11" s="80"/>
      <s:c r="AB11" s="76"/>
      <s:c r="AC11" s="26"/>
      <s:c r="AD11" s="27"/>
      <s:c r="AE11" s="79"/>
      <s:c r="AF11" s="26"/>
      <s:c r="AG11" s="80"/>
      <s:c r="AH11" s="76"/>
      <s:c r="AI11" s="26"/>
      <s:c r="AJ11" s="27"/>
      <s:c r="AK11" s="79"/>
      <s:c r="AL11" s="26"/>
      <s:c r="AM11" s="80"/>
      <s:c r="AN11" s="76"/>
      <s:c r="AO11" s="26"/>
      <s:c r="AP11" s="27"/>
      <s:c r="AQ11" s="79"/>
      <s:c r="AR11" s="26"/>
      <s:c r="AS11" s="80"/>
      <s:c r="AT11" s="76"/>
      <s:c r="AU11" s="26"/>
      <s:c r="AV11" s="27"/>
      <s:c r="AW11" s="79"/>
      <s:c r="AX11" s="26"/>
      <s:c r="AY11" s="80"/>
      <s:c r="AZ11" s="76"/>
      <s:c r="BA11" s="26"/>
      <s:c r="BB11" s="27"/>
      <s:c r="BC11" s="79"/>
      <s:c r="BD11" s="26"/>
      <s:c r="BE11" s="80"/>
      <s:c r="BF11" s="76"/>
      <s:c r="BG11" s="26"/>
      <s:c r="BH11" s="27"/>
      <s:c r="BI11" s="79"/>
      <s:c r="BJ11" s="26"/>
      <s:c r="BK11" s="80"/>
      <s:c r="BL11" s="76"/>
      <s:c r="BM11" s="26"/>
      <s:c r="BN11" s="27"/>
      <s:c r="BO11" s="79"/>
      <s:c r="BP11" s="26"/>
      <s:c r="BQ11" s="80"/>
      <s:c r="BR11" s="76"/>
      <s:c r="BS11" s="26"/>
      <s:c r="BT11" s="27"/>
      <s:c r="BU11" s="79"/>
      <s:c r="BV11" s="26"/>
      <s:c r="BW11" s="80"/>
      <s:c r="BX11" s="76"/>
      <s:c r="BY11" s="26"/>
      <s:c r="BZ11" s="27"/>
      <s:c r="CA11" s="79"/>
      <s:c r="CB11" s="26"/>
      <s:c r="CC11" s="80"/>
      <s:c r="CD11" s="76"/>
      <s:c r="CE11" s="26"/>
      <s:c r="CF11" s="27"/>
      <s:c r="CG11" s="79"/>
      <s:c r="CH11" s="26"/>
      <s:c r="CI11" s="80"/>
      <s:c r="CJ11" s="76"/>
      <s:c r="CK11" s="26"/>
      <s:c r="CL11" s="27"/>
      <s:c r="CM11" s="79"/>
      <s:c r="CN11" s="26"/>
      <s:c r="CO11" s="80"/>
      <s:c r="CP11" s="76"/>
      <s:c r="CQ11" s="26"/>
      <s:c r="CR11" s="27"/>
      <s:c r="CS11" s="62">
        <s:f>SUMIFS(D11:CR11,$D$3:$CR$3,"З")</s:f>
        <s:v>0</s:v>
      </s:c>
      <s:c r="CT11" s="63">
        <s:f>SUMIFS(D11:CR11,$D$3:$CR$3,"О")</s:f>
        <s:v>0</s:v>
      </s:c>
      <s:c r="CU11" s="63">
        <s:f>SUMIFS(D11:CR11,$D$3:$CR$3,"У")</s:f>
        <s:v>0</s:v>
      </s:c>
      <s:c r="CV11" s="28">
        <s:f>IF(C11="Да",CS11*$D$46+CT11*$D$47+CU11*$D$48,CS11*$C$46+CT11*$C$47+CU11*$C$48)</s:f>
        <s:v>0</s:v>
      </s:c>
      <s:c r="CW11" s="29" t="str">
        <s:f>IF(C11="Нет",CV11,"")</s:f>
        <s:v/>
      </s:c>
      <s:c r="CX11" s="30" t="str">
        <s:f>IF(C11="Да",CV11,"")</s:f>
        <s:v/>
      </s:c>
      <s:c r="CY11" s="30" t="str">
        <s:f>IF(C11="Налич",CV11,"")</s:f>
        <s:v/>
      </s:c>
      <s:c r="CZ11" s="122"/>
    </s:row>
    <s:row r="12" ht="21.75">
      <s:c r="A12" s="23"/>
      <s:c r="B12" s="24"/>
      <s:c r="C12" s="25"/>
      <s:c r="D12" s="49"/>
      <s:c r="E12" s="50"/>
      <s:c r="F12" s="74"/>
      <s:c r="G12" s="79"/>
      <s:c r="H12" s="26"/>
      <s:c r="I12" s="80"/>
      <s:c r="J12" s="76"/>
      <s:c r="K12" s="26"/>
      <s:c r="L12" s="27"/>
      <s:c r="M12" s="79"/>
      <s:c r="N12" s="26"/>
      <s:c r="O12" s="80"/>
      <s:c r="P12" s="76"/>
      <s:c r="Q12" s="26"/>
      <s:c r="R12" s="27"/>
      <s:c r="S12" s="79"/>
      <s:c r="T12" s="26"/>
      <s:c r="U12" s="80"/>
      <s:c r="V12" s="76"/>
      <s:c r="W12" s="26"/>
      <s:c r="X12" s="27"/>
      <s:c r="Y12" s="79"/>
      <s:c r="Z12" s="26"/>
      <s:c r="AA12" s="80"/>
      <s:c r="AB12" s="76"/>
      <s:c r="AC12" s="26"/>
      <s:c r="AD12" s="27"/>
      <s:c r="AE12" s="79"/>
      <s:c r="AF12" s="26"/>
      <s:c r="AG12" s="80"/>
      <s:c r="AH12" s="76"/>
      <s:c r="AI12" s="26"/>
      <s:c r="AJ12" s="27"/>
      <s:c r="AK12" s="79"/>
      <s:c r="AL12" s="26"/>
      <s:c r="AM12" s="80"/>
      <s:c r="AN12" s="76"/>
      <s:c r="AO12" s="26"/>
      <s:c r="AP12" s="27"/>
      <s:c r="AQ12" s="79"/>
      <s:c r="AR12" s="26"/>
      <s:c r="AS12" s="80"/>
      <s:c r="AT12" s="76"/>
      <s:c r="AU12" s="26"/>
      <s:c r="AV12" s="27"/>
      <s:c r="AW12" s="79"/>
      <s:c r="AX12" s="26"/>
      <s:c r="AY12" s="80"/>
      <s:c r="AZ12" s="76"/>
      <s:c r="BA12" s="26"/>
      <s:c r="BB12" s="27"/>
      <s:c r="BC12" s="79"/>
      <s:c r="BD12" s="26"/>
      <s:c r="BE12" s="80"/>
      <s:c r="BF12" s="76"/>
      <s:c r="BG12" s="26"/>
      <s:c r="BH12" s="27"/>
      <s:c r="BI12" s="79"/>
      <s:c r="BJ12" s="26"/>
      <s:c r="BK12" s="80"/>
      <s:c r="BL12" s="76"/>
      <s:c r="BM12" s="26"/>
      <s:c r="BN12" s="27"/>
      <s:c r="BO12" s="79"/>
      <s:c r="BP12" s="26"/>
      <s:c r="BQ12" s="80"/>
      <s:c r="BR12" s="76"/>
      <s:c r="BS12" s="26"/>
      <s:c r="BT12" s="27"/>
      <s:c r="BU12" s="79"/>
      <s:c r="BV12" s="26"/>
      <s:c r="BW12" s="80"/>
      <s:c r="BX12" s="76"/>
      <s:c r="BY12" s="26"/>
      <s:c r="BZ12" s="27"/>
      <s:c r="CA12" s="79"/>
      <s:c r="CB12" s="26"/>
      <s:c r="CC12" s="80"/>
      <s:c r="CD12" s="76"/>
      <s:c r="CE12" s="26"/>
      <s:c r="CF12" s="27"/>
      <s:c r="CG12" s="79"/>
      <s:c r="CH12" s="26"/>
      <s:c r="CI12" s="80"/>
      <s:c r="CJ12" s="76"/>
      <s:c r="CK12" s="26"/>
      <s:c r="CL12" s="27"/>
      <s:c r="CM12" s="79"/>
      <s:c r="CN12" s="26"/>
      <s:c r="CO12" s="80"/>
      <s:c r="CP12" s="76"/>
      <s:c r="CQ12" s="26"/>
      <s:c r="CR12" s="27"/>
      <s:c r="CS12" s="62">
        <s:f>SUMIFS(D12:CR12,$D$3:$CR$3,"З")</s:f>
        <s:v>0</s:v>
      </s:c>
      <s:c r="CT12" s="63">
        <s:f>SUMIFS(D12:CR12,$D$3:$CR$3,"О")</s:f>
        <s:v>0</s:v>
      </s:c>
      <s:c r="CU12" s="63">
        <s:f>SUMIFS(D12:CR12,$D$3:$CR$3,"У")</s:f>
        <s:v>0</s:v>
      </s:c>
      <s:c r="CV12" s="28">
        <s:f>IF(C12="Да",CS12*$D$46+CT12*$D$47+CU12*$D$48,CS12*$C$46+CT12*$C$47+CU12*$C$48)</s:f>
        <s:v>0</s:v>
      </s:c>
      <s:c r="CW12" s="29" t="str">
        <s:f>IF(C12="Нет",CV12,"")</s:f>
        <s:v/>
      </s:c>
      <s:c r="CX12" s="30" t="str">
        <s:f>IF(C12="Да",CV12,"")</s:f>
        <s:v/>
      </s:c>
      <s:c r="CY12" s="30" t="str">
        <s:f>IF(C12="Налич",CV12,"")</s:f>
        <s:v/>
      </s:c>
      <s:c r="CZ12" s="122"/>
    </s:row>
    <s:row r="13" ht="21.75">
      <s:c r="A13" s="23"/>
      <s:c r="B13" s="24"/>
      <s:c r="C13" s="25"/>
      <s:c r="D13" s="49"/>
      <s:c r="E13" s="50"/>
      <s:c r="F13" s="74"/>
      <s:c r="G13" s="79"/>
      <s:c r="H13" s="26"/>
      <s:c r="I13" s="80"/>
      <s:c r="J13" s="76"/>
      <s:c r="K13" s="26"/>
      <s:c r="L13" s="27"/>
      <s:c r="M13" s="79"/>
      <s:c r="N13" s="26"/>
      <s:c r="O13" s="80"/>
      <s:c r="P13" s="76"/>
      <s:c r="Q13" s="26"/>
      <s:c r="R13" s="27"/>
      <s:c r="S13" s="79"/>
      <s:c r="T13" s="26"/>
      <s:c r="U13" s="80"/>
      <s:c r="V13" s="76"/>
      <s:c r="W13" s="26"/>
      <s:c r="X13" s="27"/>
      <s:c r="Y13" s="79"/>
      <s:c r="Z13" s="26"/>
      <s:c r="AA13" s="80"/>
      <s:c r="AB13" s="76"/>
      <s:c r="AC13" s="26"/>
      <s:c r="AD13" s="27"/>
      <s:c r="AE13" s="79"/>
      <s:c r="AF13" s="26"/>
      <s:c r="AG13" s="80"/>
      <s:c r="AH13" s="76"/>
      <s:c r="AI13" s="26"/>
      <s:c r="AJ13" s="27"/>
      <s:c r="AK13" s="79"/>
      <s:c r="AL13" s="26"/>
      <s:c r="AM13" s="80"/>
      <s:c r="AN13" s="76"/>
      <s:c r="AO13" s="26"/>
      <s:c r="AP13" s="27"/>
      <s:c r="AQ13" s="79"/>
      <s:c r="AR13" s="26"/>
      <s:c r="AS13" s="80"/>
      <s:c r="AT13" s="76"/>
      <s:c r="AU13" s="26"/>
      <s:c r="AV13" s="27"/>
      <s:c r="AW13" s="79"/>
      <s:c r="AX13" s="26"/>
      <s:c r="AY13" s="80"/>
      <s:c r="AZ13" s="76"/>
      <s:c r="BA13" s="26"/>
      <s:c r="BB13" s="27"/>
      <s:c r="BC13" s="79"/>
      <s:c r="BD13" s="26"/>
      <s:c r="BE13" s="80"/>
      <s:c r="BF13" s="76"/>
      <s:c r="BG13" s="26"/>
      <s:c r="BH13" s="27"/>
      <s:c r="BI13" s="79"/>
      <s:c r="BJ13" s="26"/>
      <s:c r="BK13" s="80"/>
      <s:c r="BL13" s="76"/>
      <s:c r="BM13" s="26"/>
      <s:c r="BN13" s="27"/>
      <s:c r="BO13" s="79"/>
      <s:c r="BP13" s="26"/>
      <s:c r="BQ13" s="80"/>
      <s:c r="BR13" s="76"/>
      <s:c r="BS13" s="26"/>
      <s:c r="BT13" s="27"/>
      <s:c r="BU13" s="79"/>
      <s:c r="BV13" s="26"/>
      <s:c r="BW13" s="80"/>
      <s:c r="BX13" s="76"/>
      <s:c r="BY13" s="26"/>
      <s:c r="BZ13" s="27"/>
      <s:c r="CA13" s="79"/>
      <s:c r="CB13" s="26"/>
      <s:c r="CC13" s="80"/>
      <s:c r="CD13" s="76"/>
      <s:c r="CE13" s="26"/>
      <s:c r="CF13" s="27"/>
      <s:c r="CG13" s="79"/>
      <s:c r="CH13" s="26"/>
      <s:c r="CI13" s="80"/>
      <s:c r="CJ13" s="76"/>
      <s:c r="CK13" s="26"/>
      <s:c r="CL13" s="27"/>
      <s:c r="CM13" s="79"/>
      <s:c r="CN13" s="26"/>
      <s:c r="CO13" s="80"/>
      <s:c r="CP13" s="76"/>
      <s:c r="CQ13" s="26"/>
      <s:c r="CR13" s="27"/>
      <s:c r="CS13" s="62">
        <s:f>SUMIFS(D13:CR13,$D$3:$CR$3,"З")</s:f>
        <s:v>0</s:v>
      </s:c>
      <s:c r="CT13" s="63">
        <s:f>SUMIFS(D13:CR13,$D$3:$CR$3,"О")</s:f>
        <s:v>0</s:v>
      </s:c>
      <s:c r="CU13" s="63">
        <s:f>SUMIFS(D13:CR13,$D$3:$CR$3,"У")</s:f>
        <s:v>0</s:v>
      </s:c>
      <s:c r="CV13" s="28">
        <s:f>IF(C13="Да",CS13*$D$46+CT13*$D$47+CU13*$D$48,CS13*$C$46+CT13*$C$47+CU13*$C$48)</s:f>
        <s:v>0</s:v>
      </s:c>
      <s:c r="CW13" s="29" t="str">
        <s:f>IF(C13="Нет",CV13,"")</s:f>
        <s:v/>
      </s:c>
      <s:c r="CX13" s="30" t="str">
        <s:f>IF(C13="Да",CV13,"")</s:f>
        <s:v/>
      </s:c>
      <s:c r="CY13" s="30" t="str">
        <s:f>IF(C13="Налич",CV13,"")</s:f>
        <s:v/>
      </s:c>
      <s:c r="CZ13" s="122"/>
    </s:row>
    <s:row r="14" ht="21.75">
      <s:c r="A14" s="23"/>
      <s:c r="B14" s="24"/>
      <s:c r="C14" s="25"/>
      <s:c r="D14" s="49"/>
      <s:c r="E14" s="50"/>
      <s:c r="F14" s="74"/>
      <s:c r="G14" s="79"/>
      <s:c r="H14" s="26"/>
      <s:c r="I14" s="80"/>
      <s:c r="J14" s="76"/>
      <s:c r="K14" s="26"/>
      <s:c r="L14" s="27"/>
      <s:c r="M14" s="79"/>
      <s:c r="N14" s="26"/>
      <s:c r="O14" s="80"/>
      <s:c r="P14" s="76"/>
      <s:c r="Q14" s="26"/>
      <s:c r="R14" s="27"/>
      <s:c r="S14" s="79"/>
      <s:c r="T14" s="26"/>
      <s:c r="U14" s="80"/>
      <s:c r="V14" s="76"/>
      <s:c r="W14" s="26"/>
      <s:c r="X14" s="27"/>
      <s:c r="Y14" s="79"/>
      <s:c r="Z14" s="26"/>
      <s:c r="AA14" s="80"/>
      <s:c r="AB14" s="76"/>
      <s:c r="AC14" s="26"/>
      <s:c r="AD14" s="27"/>
      <s:c r="AE14" s="79"/>
      <s:c r="AF14" s="26"/>
      <s:c r="AG14" s="80"/>
      <s:c r="AH14" s="76"/>
      <s:c r="AI14" s="26"/>
      <s:c r="AJ14" s="27"/>
      <s:c r="AK14" s="79"/>
      <s:c r="AL14" s="26"/>
      <s:c r="AM14" s="80"/>
      <s:c r="AN14" s="76"/>
      <s:c r="AO14" s="26"/>
      <s:c r="AP14" s="27"/>
      <s:c r="AQ14" s="79"/>
      <s:c r="AR14" s="26"/>
      <s:c r="AS14" s="80"/>
      <s:c r="AT14" s="76"/>
      <s:c r="AU14" s="26"/>
      <s:c r="AV14" s="27"/>
      <s:c r="AW14" s="79"/>
      <s:c r="AX14" s="26"/>
      <s:c r="AY14" s="80"/>
      <s:c r="AZ14" s="76"/>
      <s:c r="BA14" s="26"/>
      <s:c r="BB14" s="27"/>
      <s:c r="BC14" s="79"/>
      <s:c r="BD14" s="26"/>
      <s:c r="BE14" s="80"/>
      <s:c r="BF14" s="76"/>
      <s:c r="BG14" s="26"/>
      <s:c r="BH14" s="27"/>
      <s:c r="BI14" s="79"/>
      <s:c r="BJ14" s="26"/>
      <s:c r="BK14" s="80"/>
      <s:c r="BL14" s="76"/>
      <s:c r="BM14" s="26"/>
      <s:c r="BN14" s="27"/>
      <s:c r="BO14" s="79"/>
      <s:c r="BP14" s="26"/>
      <s:c r="BQ14" s="80"/>
      <s:c r="BR14" s="76"/>
      <s:c r="BS14" s="26"/>
      <s:c r="BT14" s="27"/>
      <s:c r="BU14" s="79"/>
      <s:c r="BV14" s="26"/>
      <s:c r="BW14" s="80"/>
      <s:c r="BX14" s="76"/>
      <s:c r="BY14" s="26"/>
      <s:c r="BZ14" s="27"/>
      <s:c r="CA14" s="79"/>
      <s:c r="CB14" s="26"/>
      <s:c r="CC14" s="80"/>
      <s:c r="CD14" s="76"/>
      <s:c r="CE14" s="26"/>
      <s:c r="CF14" s="27"/>
      <s:c r="CG14" s="79"/>
      <s:c r="CH14" s="26"/>
      <s:c r="CI14" s="80"/>
      <s:c r="CJ14" s="76"/>
      <s:c r="CK14" s="26"/>
      <s:c r="CL14" s="27"/>
      <s:c r="CM14" s="79"/>
      <s:c r="CN14" s="26"/>
      <s:c r="CO14" s="80"/>
      <s:c r="CP14" s="76"/>
      <s:c r="CQ14" s="26"/>
      <s:c r="CR14" s="27"/>
      <s:c r="CS14" s="62">
        <s:f>SUMIFS(D14:CR14,$D$3:$CR$3,"З")</s:f>
        <s:v>0</s:v>
      </s:c>
      <s:c r="CT14" s="63">
        <s:f>SUMIFS(D14:CR14,$D$3:$CR$3,"О")</s:f>
        <s:v>0</s:v>
      </s:c>
      <s:c r="CU14" s="63">
        <s:f>SUMIFS(D14:CR14,$D$3:$CR$3,"У")</s:f>
        <s:v>0</s:v>
      </s:c>
      <s:c r="CV14" s="28">
        <s:f>IF(C14="Да",CS14*$D$46+CT14*$D$47+CU14*$D$48,CS14*$C$46+CT14*$C$47+CU14*$C$48)</s:f>
        <s:v>0</s:v>
      </s:c>
      <s:c r="CW14" s="29" t="str">
        <s:f>IF(C14="Нет",CV14,"")</s:f>
        <s:v/>
      </s:c>
      <s:c r="CX14" s="30" t="str">
        <s:f>IF(C14="Да",CV14,"")</s:f>
        <s:v/>
      </s:c>
      <s:c r="CY14" s="30" t="str">
        <s:f>IF(C14="Налич",CV14,"")</s:f>
        <s:v/>
      </s:c>
      <s:c r="CZ14" s="122"/>
    </s:row>
    <s:row r="15" ht="21.75">
      <s:c r="A15" s="23"/>
      <s:c r="B15" s="24"/>
      <s:c r="C15" s="25"/>
      <s:c r="D15" s="49"/>
      <s:c r="E15" s="50"/>
      <s:c r="F15" s="74"/>
      <s:c r="G15" s="79"/>
      <s:c r="H15" s="26"/>
      <s:c r="I15" s="80"/>
      <s:c r="J15" s="76"/>
      <s:c r="K15" s="26"/>
      <s:c r="L15" s="27"/>
      <s:c r="M15" s="79"/>
      <s:c r="N15" s="26"/>
      <s:c r="O15" s="80"/>
      <s:c r="P15" s="76"/>
      <s:c r="Q15" s="26"/>
      <s:c r="R15" s="27"/>
      <s:c r="S15" s="79"/>
      <s:c r="T15" s="26"/>
      <s:c r="U15" s="80"/>
      <s:c r="V15" s="76"/>
      <s:c r="W15" s="26"/>
      <s:c r="X15" s="27"/>
      <s:c r="Y15" s="79"/>
      <s:c r="Z15" s="26"/>
      <s:c r="AA15" s="80"/>
      <s:c r="AB15" s="76"/>
      <s:c r="AC15" s="26"/>
      <s:c r="AD15" s="27"/>
      <s:c r="AE15" s="79"/>
      <s:c r="AF15" s="26"/>
      <s:c r="AG15" s="80"/>
      <s:c r="AH15" s="76"/>
      <s:c r="AI15" s="26"/>
      <s:c r="AJ15" s="27"/>
      <s:c r="AK15" s="79"/>
      <s:c r="AL15" s="26"/>
      <s:c r="AM15" s="80"/>
      <s:c r="AN15" s="76"/>
      <s:c r="AO15" s="26"/>
      <s:c r="AP15" s="27"/>
      <s:c r="AQ15" s="79"/>
      <s:c r="AR15" s="26"/>
      <s:c r="AS15" s="80"/>
      <s:c r="AT15" s="76"/>
      <s:c r="AU15" s="26"/>
      <s:c r="AV15" s="27"/>
      <s:c r="AW15" s="79"/>
      <s:c r="AX15" s="26"/>
      <s:c r="AY15" s="80"/>
      <s:c r="AZ15" s="76"/>
      <s:c r="BA15" s="26"/>
      <s:c r="BB15" s="27"/>
      <s:c r="BC15" s="79"/>
      <s:c r="BD15" s="26"/>
      <s:c r="BE15" s="80"/>
      <s:c r="BF15" s="76"/>
      <s:c r="BG15" s="26"/>
      <s:c r="BH15" s="27"/>
      <s:c r="BI15" s="79"/>
      <s:c r="BJ15" s="26"/>
      <s:c r="BK15" s="80"/>
      <s:c r="BL15" s="76"/>
      <s:c r="BM15" s="26"/>
      <s:c r="BN15" s="27"/>
      <s:c r="BO15" s="79"/>
      <s:c r="BP15" s="26"/>
      <s:c r="BQ15" s="80"/>
      <s:c r="BR15" s="76"/>
      <s:c r="BS15" s="26"/>
      <s:c r="BT15" s="27"/>
      <s:c r="BU15" s="79"/>
      <s:c r="BV15" s="26"/>
      <s:c r="BW15" s="80"/>
      <s:c r="BX15" s="76"/>
      <s:c r="BY15" s="26"/>
      <s:c r="BZ15" s="27"/>
      <s:c r="CA15" s="79"/>
      <s:c r="CB15" s="26"/>
      <s:c r="CC15" s="80"/>
      <s:c r="CD15" s="76"/>
      <s:c r="CE15" s="26"/>
      <s:c r="CF15" s="27"/>
      <s:c r="CG15" s="79"/>
      <s:c r="CH15" s="26"/>
      <s:c r="CI15" s="80"/>
      <s:c r="CJ15" s="76"/>
      <s:c r="CK15" s="26"/>
      <s:c r="CL15" s="27"/>
      <s:c r="CM15" s="79"/>
      <s:c r="CN15" s="26"/>
      <s:c r="CO15" s="80"/>
      <s:c r="CP15" s="76"/>
      <s:c r="CQ15" s="26"/>
      <s:c r="CR15" s="27"/>
      <s:c r="CS15" s="62">
        <s:f>SUMIFS(D15:CR15,$D$3:$CR$3,"З")</s:f>
        <s:v>0</s:v>
      </s:c>
      <s:c r="CT15" s="63">
        <s:f>SUMIFS(D15:CR15,$D$3:$CR$3,"О")</s:f>
        <s:v>0</s:v>
      </s:c>
      <s:c r="CU15" s="63">
        <s:f>SUMIFS(D15:CR15,$D$3:$CR$3,"У")</s:f>
        <s:v>0</s:v>
      </s:c>
      <s:c r="CV15" s="28">
        <s:f>IF(C15="Да",CS15*$D$46+CT15*$D$47+CU15*$D$48,CS15*$C$46+CT15*$C$47+CU15*$C$48)</s:f>
        <s:v>0</s:v>
      </s:c>
      <s:c r="CW15" s="29" t="str">
        <s:f>IF(C15="Нет",CV15,"")</s:f>
        <s:v/>
      </s:c>
      <s:c r="CX15" s="30" t="str">
        <s:f>IF(C15="Да",CV15,"")</s:f>
        <s:v/>
      </s:c>
      <s:c r="CY15" s="30" t="str">
        <s:f>IF(C15="Налич",CV15,"")</s:f>
        <s:v/>
      </s:c>
      <s:c r="CZ15" s="122"/>
    </s:row>
    <s:row r="16" ht="21.75">
      <s:c r="A16" s="23"/>
      <s:c r="B16" s="24"/>
      <s:c r="C16" s="25"/>
      <s:c r="D16" s="49"/>
      <s:c r="E16" s="50"/>
      <s:c r="F16" s="74"/>
      <s:c r="G16" s="79"/>
      <s:c r="H16" s="26"/>
      <s:c r="I16" s="80"/>
      <s:c r="J16" s="76"/>
      <s:c r="K16" s="26"/>
      <s:c r="L16" s="27"/>
      <s:c r="M16" s="79"/>
      <s:c r="N16" s="26"/>
      <s:c r="O16" s="80"/>
      <s:c r="P16" s="76"/>
      <s:c r="Q16" s="26"/>
      <s:c r="R16" s="27"/>
      <s:c r="S16" s="79"/>
      <s:c r="T16" s="26"/>
      <s:c r="U16" s="80"/>
      <s:c r="V16" s="76"/>
      <s:c r="W16" s="26"/>
      <s:c r="X16" s="27"/>
      <s:c r="Y16" s="79"/>
      <s:c r="Z16" s="26"/>
      <s:c r="AA16" s="80"/>
      <s:c r="AB16" s="76"/>
      <s:c r="AC16" s="26"/>
      <s:c r="AD16" s="27"/>
      <s:c r="AE16" s="79"/>
      <s:c r="AF16" s="26"/>
      <s:c r="AG16" s="80"/>
      <s:c r="AH16" s="76"/>
      <s:c r="AI16" s="26"/>
      <s:c r="AJ16" s="27"/>
      <s:c r="AK16" s="79"/>
      <s:c r="AL16" s="26"/>
      <s:c r="AM16" s="80"/>
      <s:c r="AN16" s="76"/>
      <s:c r="AO16" s="26"/>
      <s:c r="AP16" s="27"/>
      <s:c r="AQ16" s="79"/>
      <s:c r="AR16" s="26"/>
      <s:c r="AS16" s="80"/>
      <s:c r="AT16" s="76"/>
      <s:c r="AU16" s="26"/>
      <s:c r="AV16" s="27"/>
      <s:c r="AW16" s="79"/>
      <s:c r="AX16" s="26"/>
      <s:c r="AY16" s="80"/>
      <s:c r="AZ16" s="76"/>
      <s:c r="BA16" s="26"/>
      <s:c r="BB16" s="27"/>
      <s:c r="BC16" s="79"/>
      <s:c r="BD16" s="26"/>
      <s:c r="BE16" s="80"/>
      <s:c r="BF16" s="76"/>
      <s:c r="BG16" s="26"/>
      <s:c r="BH16" s="27"/>
      <s:c r="BI16" s="79"/>
      <s:c r="BJ16" s="26"/>
      <s:c r="BK16" s="80"/>
      <s:c r="BL16" s="76"/>
      <s:c r="BM16" s="26"/>
      <s:c r="BN16" s="27"/>
      <s:c r="BO16" s="79"/>
      <s:c r="BP16" s="26"/>
      <s:c r="BQ16" s="80"/>
      <s:c r="BR16" s="76"/>
      <s:c r="BS16" s="26"/>
      <s:c r="BT16" s="27"/>
      <s:c r="BU16" s="79"/>
      <s:c r="BV16" s="26"/>
      <s:c r="BW16" s="80"/>
      <s:c r="BX16" s="76"/>
      <s:c r="BY16" s="26"/>
      <s:c r="BZ16" s="27"/>
      <s:c r="CA16" s="79"/>
      <s:c r="CB16" s="26"/>
      <s:c r="CC16" s="80"/>
      <s:c r="CD16" s="76"/>
      <s:c r="CE16" s="26"/>
      <s:c r="CF16" s="27"/>
      <s:c r="CG16" s="79"/>
      <s:c r="CH16" s="26"/>
      <s:c r="CI16" s="80"/>
      <s:c r="CJ16" s="76"/>
      <s:c r="CK16" s="26"/>
      <s:c r="CL16" s="27"/>
      <s:c r="CM16" s="79"/>
      <s:c r="CN16" s="26"/>
      <s:c r="CO16" s="80"/>
      <s:c r="CP16" s="76"/>
      <s:c r="CQ16" s="26"/>
      <s:c r="CR16" s="27"/>
      <s:c r="CS16" s="62">
        <s:f>SUMIFS(D16:CR16,$D$3:$CR$3,"З")</s:f>
        <s:v>0</s:v>
      </s:c>
      <s:c r="CT16" s="63">
        <s:f>SUMIFS(D16:CR16,$D$3:$CR$3,"О")</s:f>
        <s:v>0</s:v>
      </s:c>
      <s:c r="CU16" s="63">
        <s:f>SUMIFS(D16:CR16,$D$3:$CR$3,"У")</s:f>
        <s:v>0</s:v>
      </s:c>
      <s:c r="CV16" s="28">
        <s:f>IF(C16="Да",CS16*$D$46+CT16*$D$47+CU16*$D$48,CS16*$C$46+CT16*$C$47+CU16*$C$48)</s:f>
        <s:v>0</s:v>
      </s:c>
      <s:c r="CW16" s="29" t="str">
        <s:f>IF(C16="Нет",CV16,"")</s:f>
        <s:v/>
      </s:c>
      <s:c r="CX16" s="30" t="str">
        <s:f>IF(C16="Да",CV16,"")</s:f>
        <s:v/>
      </s:c>
      <s:c r="CY16" s="30" t="str">
        <s:f>IF(C16="Налич",CV16,"")</s:f>
        <s:v/>
      </s:c>
      <s:c r="CZ16" s="122"/>
    </s:row>
    <s:row r="17" ht="21.75">
      <s:c r="A17" s="23"/>
      <s:c r="B17" s="24"/>
      <s:c r="C17" s="25"/>
      <s:c r="D17" s="49"/>
      <s:c r="E17" s="50"/>
      <s:c r="F17" s="74"/>
      <s:c r="G17" s="79"/>
      <s:c r="H17" s="26"/>
      <s:c r="I17" s="80"/>
      <s:c r="J17" s="76"/>
      <s:c r="K17" s="26"/>
      <s:c r="L17" s="27"/>
      <s:c r="M17" s="79"/>
      <s:c r="N17" s="26"/>
      <s:c r="O17" s="80"/>
      <s:c r="P17" s="76"/>
      <s:c r="Q17" s="26"/>
      <s:c r="R17" s="27"/>
      <s:c r="S17" s="79"/>
      <s:c r="T17" s="26"/>
      <s:c r="U17" s="80"/>
      <s:c r="V17" s="76"/>
      <s:c r="W17" s="26"/>
      <s:c r="X17" s="27"/>
      <s:c r="Y17" s="79"/>
      <s:c r="Z17" s="26"/>
      <s:c r="AA17" s="80"/>
      <s:c r="AB17" s="76"/>
      <s:c r="AC17" s="26"/>
      <s:c r="AD17" s="27"/>
      <s:c r="AE17" s="79"/>
      <s:c r="AF17" s="26"/>
      <s:c r="AG17" s="80"/>
      <s:c r="AH17" s="76"/>
      <s:c r="AI17" s="26"/>
      <s:c r="AJ17" s="27"/>
      <s:c r="AK17" s="79"/>
      <s:c r="AL17" s="26"/>
      <s:c r="AM17" s="80"/>
      <s:c r="AN17" s="76"/>
      <s:c r="AO17" s="26"/>
      <s:c r="AP17" s="27"/>
      <s:c r="AQ17" s="79"/>
      <s:c r="AR17" s="26"/>
      <s:c r="AS17" s="80"/>
      <s:c r="AT17" s="76"/>
      <s:c r="AU17" s="26"/>
      <s:c r="AV17" s="27"/>
      <s:c r="AW17" s="79"/>
      <s:c r="AX17" s="26"/>
      <s:c r="AY17" s="80"/>
      <s:c r="AZ17" s="76"/>
      <s:c r="BA17" s="26"/>
      <s:c r="BB17" s="27"/>
      <s:c r="BC17" s="79"/>
      <s:c r="BD17" s="26"/>
      <s:c r="BE17" s="80"/>
      <s:c r="BF17" s="76"/>
      <s:c r="BG17" s="26"/>
      <s:c r="BH17" s="27"/>
      <s:c r="BI17" s="79"/>
      <s:c r="BJ17" s="26"/>
      <s:c r="BK17" s="80"/>
      <s:c r="BL17" s="76"/>
      <s:c r="BM17" s="26"/>
      <s:c r="BN17" s="27"/>
      <s:c r="BO17" s="79"/>
      <s:c r="BP17" s="26"/>
      <s:c r="BQ17" s="80"/>
      <s:c r="BR17" s="76"/>
      <s:c r="BS17" s="26"/>
      <s:c r="BT17" s="27"/>
      <s:c r="BU17" s="79"/>
      <s:c r="BV17" s="26"/>
      <s:c r="BW17" s="80"/>
      <s:c r="BX17" s="76"/>
      <s:c r="BY17" s="26"/>
      <s:c r="BZ17" s="27"/>
      <s:c r="CA17" s="79"/>
      <s:c r="CB17" s="26"/>
      <s:c r="CC17" s="80"/>
      <s:c r="CD17" s="76"/>
      <s:c r="CE17" s="26"/>
      <s:c r="CF17" s="27"/>
      <s:c r="CG17" s="79"/>
      <s:c r="CH17" s="26"/>
      <s:c r="CI17" s="80"/>
      <s:c r="CJ17" s="76"/>
      <s:c r="CK17" s="26"/>
      <s:c r="CL17" s="27"/>
      <s:c r="CM17" s="79"/>
      <s:c r="CN17" s="26"/>
      <s:c r="CO17" s="80"/>
      <s:c r="CP17" s="76"/>
      <s:c r="CQ17" s="26"/>
      <s:c r="CR17" s="27"/>
      <s:c r="CS17" s="62">
        <s:f>SUMIFS(D17:CR17,$D$3:$CR$3,"З")</s:f>
        <s:v>0</s:v>
      </s:c>
      <s:c r="CT17" s="63">
        <s:f>SUMIFS(D17:CR17,$D$3:$CR$3,"О")</s:f>
        <s:v>0</s:v>
      </s:c>
      <s:c r="CU17" s="63">
        <s:f>SUMIFS(D17:CR17,$D$3:$CR$3,"У")</s:f>
        <s:v>0</s:v>
      </s:c>
      <s:c r="CV17" s="28">
        <s:f>IF(C17="Да",CS17*$D$46+CT17*$D$47+CU17*$D$48,CS17*$C$46+CT17*$C$47+CU17*$C$48)</s:f>
        <s:v>0</s:v>
      </s:c>
      <s:c r="CW17" s="29" t="str">
        <s:f>IF(C17="Нет",CV17,"")</s:f>
        <s:v/>
      </s:c>
      <s:c r="CX17" s="30" t="str">
        <s:f>IF(C17="Да",CV17,"")</s:f>
        <s:v/>
      </s:c>
      <s:c r="CY17" s="30" t="str">
        <s:f>IF(C17="Налич",CV17,"")</s:f>
        <s:v/>
      </s:c>
      <s:c r="CZ17" s="122"/>
    </s:row>
    <s:row r="18" ht="21.75">
      <s:c r="A18" s="23"/>
      <s:c r="B18" s="24"/>
      <s:c r="C18" s="25"/>
      <s:c r="D18" s="49"/>
      <s:c r="E18" s="50"/>
      <s:c r="F18" s="74"/>
      <s:c r="G18" s="79"/>
      <s:c r="H18" s="26"/>
      <s:c r="I18" s="80"/>
      <s:c r="J18" s="76"/>
      <s:c r="K18" s="26"/>
      <s:c r="L18" s="27"/>
      <s:c r="M18" s="79"/>
      <s:c r="N18" s="26"/>
      <s:c r="O18" s="80"/>
      <s:c r="P18" s="76"/>
      <s:c r="Q18" s="26"/>
      <s:c r="R18" s="27"/>
      <s:c r="S18" s="79"/>
      <s:c r="T18" s="26"/>
      <s:c r="U18" s="80"/>
      <s:c r="V18" s="76"/>
      <s:c r="W18" s="26"/>
      <s:c r="X18" s="27"/>
      <s:c r="Y18" s="79"/>
      <s:c r="Z18" s="26"/>
      <s:c r="AA18" s="80"/>
      <s:c r="AB18" s="76"/>
      <s:c r="AC18" s="26"/>
      <s:c r="AD18" s="27"/>
      <s:c r="AE18" s="79"/>
      <s:c r="AF18" s="26"/>
      <s:c r="AG18" s="80"/>
      <s:c r="AH18" s="76"/>
      <s:c r="AI18" s="26"/>
      <s:c r="AJ18" s="27"/>
      <s:c r="AK18" s="79"/>
      <s:c r="AL18" s="26"/>
      <s:c r="AM18" s="80"/>
      <s:c r="AN18" s="76"/>
      <s:c r="AO18" s="26"/>
      <s:c r="AP18" s="27"/>
      <s:c r="AQ18" s="79"/>
      <s:c r="AR18" s="26"/>
      <s:c r="AS18" s="80"/>
      <s:c r="AT18" s="76"/>
      <s:c r="AU18" s="26"/>
      <s:c r="AV18" s="27"/>
      <s:c r="AW18" s="79"/>
      <s:c r="AX18" s="26"/>
      <s:c r="AY18" s="80"/>
      <s:c r="AZ18" s="76"/>
      <s:c r="BA18" s="26"/>
      <s:c r="BB18" s="27"/>
      <s:c r="BC18" s="79"/>
      <s:c r="BD18" s="26"/>
      <s:c r="BE18" s="80"/>
      <s:c r="BF18" s="76"/>
      <s:c r="BG18" s="26"/>
      <s:c r="BH18" s="27"/>
      <s:c r="BI18" s="79"/>
      <s:c r="BJ18" s="26"/>
      <s:c r="BK18" s="80"/>
      <s:c r="BL18" s="76"/>
      <s:c r="BM18" s="26"/>
      <s:c r="BN18" s="27"/>
      <s:c r="BO18" s="79"/>
      <s:c r="BP18" s="26"/>
      <s:c r="BQ18" s="80"/>
      <s:c r="BR18" s="76"/>
      <s:c r="BS18" s="26"/>
      <s:c r="BT18" s="27"/>
      <s:c r="BU18" s="79"/>
      <s:c r="BV18" s="26"/>
      <s:c r="BW18" s="80"/>
      <s:c r="BX18" s="76"/>
      <s:c r="BY18" s="26"/>
      <s:c r="BZ18" s="27"/>
      <s:c r="CA18" s="79"/>
      <s:c r="CB18" s="26"/>
      <s:c r="CC18" s="80"/>
      <s:c r="CD18" s="76"/>
      <s:c r="CE18" s="26"/>
      <s:c r="CF18" s="27"/>
      <s:c r="CG18" s="79"/>
      <s:c r="CH18" s="26"/>
      <s:c r="CI18" s="80"/>
      <s:c r="CJ18" s="76"/>
      <s:c r="CK18" s="26"/>
      <s:c r="CL18" s="27"/>
      <s:c r="CM18" s="79"/>
      <s:c r="CN18" s="26"/>
      <s:c r="CO18" s="80"/>
      <s:c r="CP18" s="76"/>
      <s:c r="CQ18" s="26"/>
      <s:c r="CR18" s="27"/>
      <s:c r="CS18" s="62">
        <s:f>SUMIFS(D18:CR18,$D$3:$CR$3,"З")</s:f>
        <s:v>0</s:v>
      </s:c>
      <s:c r="CT18" s="63">
        <s:f>SUMIFS(D18:CR18,$D$3:$CR$3,"О")</s:f>
        <s:v>0</s:v>
      </s:c>
      <s:c r="CU18" s="63">
        <s:f>SUMIFS(D18:CR18,$D$3:$CR$3,"У")</s:f>
        <s:v>0</s:v>
      </s:c>
      <s:c r="CV18" s="28">
        <s:f>IF(C18="Да",CS18*$D$46+CT18*$D$47+CU18*$D$48,CS18*$C$46+CT18*$C$47+CU18*$C$48)</s:f>
        <s:v>0</s:v>
      </s:c>
      <s:c r="CW18" s="29" t="str">
        <s:f>IF(C18="Нет",CV18,"")</s:f>
        <s:v/>
      </s:c>
      <s:c r="CX18" s="30" t="str">
        <s:f>IF(C18="Да",CV18,"")</s:f>
        <s:v/>
      </s:c>
      <s:c r="CY18" s="30" t="str">
        <s:f>IF(C18="Налич",CV18,"")</s:f>
        <s:v/>
      </s:c>
    </s:row>
    <s:row r="19" ht="21.75">
      <s:c r="A19" s="23"/>
      <s:c r="B19" s="24"/>
      <s:c r="C19" s="25"/>
      <s:c r="D19" s="49"/>
      <s:c r="E19" s="50"/>
      <s:c r="F19" s="74"/>
      <s:c r="G19" s="79"/>
      <s:c r="H19" s="26"/>
      <s:c r="I19" s="80"/>
      <s:c r="J19" s="76"/>
      <s:c r="K19" s="26"/>
      <s:c r="L19" s="27"/>
      <s:c r="M19" s="79"/>
      <s:c r="N19" s="26"/>
      <s:c r="O19" s="80"/>
      <s:c r="P19" s="76"/>
      <s:c r="Q19" s="26"/>
      <s:c r="R19" s="27"/>
      <s:c r="S19" s="79"/>
      <s:c r="T19" s="26"/>
      <s:c r="U19" s="80"/>
      <s:c r="V19" s="76"/>
      <s:c r="W19" s="26"/>
      <s:c r="X19" s="27"/>
      <s:c r="Y19" s="79"/>
      <s:c r="Z19" s="26"/>
      <s:c r="AA19" s="80"/>
      <s:c r="AB19" s="76"/>
      <s:c r="AC19" s="26"/>
      <s:c r="AD19" s="27"/>
      <s:c r="AE19" s="79"/>
      <s:c r="AF19" s="26"/>
      <s:c r="AG19" s="80"/>
      <s:c r="AH19" s="76"/>
      <s:c r="AI19" s="26"/>
      <s:c r="AJ19" s="27"/>
      <s:c r="AK19" s="79"/>
      <s:c r="AL19" s="26"/>
      <s:c r="AM19" s="80"/>
      <s:c r="AN19" s="76"/>
      <s:c r="AO19" s="26"/>
      <s:c r="AP19" s="27"/>
      <s:c r="AQ19" s="79"/>
      <s:c r="AR19" s="26"/>
      <s:c r="AS19" s="80"/>
      <s:c r="AT19" s="76"/>
      <s:c r="AU19" s="26"/>
      <s:c r="AV19" s="27"/>
      <s:c r="AW19" s="79"/>
      <s:c r="AX19" s="26"/>
      <s:c r="AY19" s="80"/>
      <s:c r="AZ19" s="76"/>
      <s:c r="BA19" s="26"/>
      <s:c r="BB19" s="27"/>
      <s:c r="BC19" s="79"/>
      <s:c r="BD19" s="26"/>
      <s:c r="BE19" s="80"/>
      <s:c r="BF19" s="76"/>
      <s:c r="BG19" s="26"/>
      <s:c r="BH19" s="27"/>
      <s:c r="BI19" s="79"/>
      <s:c r="BJ19" s="26"/>
      <s:c r="BK19" s="80"/>
      <s:c r="BL19" s="76"/>
      <s:c r="BM19" s="26"/>
      <s:c r="BN19" s="27"/>
      <s:c r="BO19" s="79"/>
      <s:c r="BP19" s="26"/>
      <s:c r="BQ19" s="80"/>
      <s:c r="BR19" s="76"/>
      <s:c r="BS19" s="26"/>
      <s:c r="BT19" s="27"/>
      <s:c r="BU19" s="79"/>
      <s:c r="BV19" s="26"/>
      <s:c r="BW19" s="80"/>
      <s:c r="BX19" s="76"/>
      <s:c r="BY19" s="26"/>
      <s:c r="BZ19" s="27"/>
      <s:c r="CA19" s="79"/>
      <s:c r="CB19" s="26"/>
      <s:c r="CC19" s="80"/>
      <s:c r="CD19" s="76"/>
      <s:c r="CE19" s="26"/>
      <s:c r="CF19" s="27"/>
      <s:c r="CG19" s="79"/>
      <s:c r="CH19" s="26"/>
      <s:c r="CI19" s="80"/>
      <s:c r="CJ19" s="76"/>
      <s:c r="CK19" s="26"/>
      <s:c r="CL19" s="27"/>
      <s:c r="CM19" s="79"/>
      <s:c r="CN19" s="26"/>
      <s:c r="CO19" s="80"/>
      <s:c r="CP19" s="76"/>
      <s:c r="CQ19" s="26"/>
      <s:c r="CR19" s="27"/>
      <s:c r="CS19" s="62">
        <s:f>SUMIFS(D19:CR19,$D$3:$CR$3,"З")</s:f>
        <s:v>0</s:v>
      </s:c>
      <s:c r="CT19" s="63">
        <s:f>SUMIFS(D19:CR19,$D$3:$CR$3,"О")</s:f>
        <s:v>0</s:v>
      </s:c>
      <s:c r="CU19" s="63">
        <s:f>SUMIFS(D19:CR19,$D$3:$CR$3,"У")</s:f>
        <s:v>0</s:v>
      </s:c>
      <s:c r="CV19" s="28">
        <s:f>IF(C19="Да",CS19*$D$46+CT19*$D$47+CU19*$D$48,CS19*$C$46+CT19*$C$47+CU19*$C$48)</s:f>
        <s:v>0</s:v>
      </s:c>
      <s:c r="CW19" s="29" t="str">
        <s:f>IF(C19="Нет",CV19,"")</s:f>
        <s:v/>
      </s:c>
      <s:c r="CX19" s="30" t="str">
        <s:f>IF(C19="Да",CV19,"")</s:f>
        <s:v/>
      </s:c>
      <s:c r="CY19" s="30" t="str">
        <s:f>IF(C19="Налич",CV19,"")</s:f>
        <s:v/>
      </s:c>
    </s:row>
    <s:row r="20" ht="21.75">
      <s:c r="A20" s="23"/>
      <s:c r="B20" s="24"/>
      <s:c r="C20" s="25"/>
      <s:c r="D20" s="49"/>
      <s:c r="E20" s="50"/>
      <s:c r="F20" s="74"/>
      <s:c r="G20" s="79"/>
      <s:c r="H20" s="26"/>
      <s:c r="I20" s="80"/>
      <s:c r="J20" s="76"/>
      <s:c r="K20" s="26"/>
      <s:c r="L20" s="27"/>
      <s:c r="M20" s="79"/>
      <s:c r="N20" s="26"/>
      <s:c r="O20" s="80"/>
      <s:c r="P20" s="76"/>
      <s:c r="Q20" s="26"/>
      <s:c r="R20" s="27"/>
      <s:c r="S20" s="79"/>
      <s:c r="T20" s="26"/>
      <s:c r="U20" s="80"/>
      <s:c r="V20" s="76"/>
      <s:c r="W20" s="26"/>
      <s:c r="X20" s="27"/>
      <s:c r="Y20" s="79"/>
      <s:c r="Z20" s="26"/>
      <s:c r="AA20" s="80"/>
      <s:c r="AB20" s="76"/>
      <s:c r="AC20" s="26"/>
      <s:c r="AD20" s="27"/>
      <s:c r="AE20" s="79"/>
      <s:c r="AF20" s="26"/>
      <s:c r="AG20" s="80"/>
      <s:c r="AH20" s="76"/>
      <s:c r="AI20" s="26"/>
      <s:c r="AJ20" s="27"/>
      <s:c r="AK20" s="79"/>
      <s:c r="AL20" s="26"/>
      <s:c r="AM20" s="80"/>
      <s:c r="AN20" s="76"/>
      <s:c r="AO20" s="26"/>
      <s:c r="AP20" s="27"/>
      <s:c r="AQ20" s="79"/>
      <s:c r="AR20" s="26"/>
      <s:c r="AS20" s="80"/>
      <s:c r="AT20" s="76"/>
      <s:c r="AU20" s="26"/>
      <s:c r="AV20" s="27"/>
      <s:c r="AW20" s="79"/>
      <s:c r="AX20" s="26"/>
      <s:c r="AY20" s="80"/>
      <s:c r="AZ20" s="76"/>
      <s:c r="BA20" s="26"/>
      <s:c r="BB20" s="27"/>
      <s:c r="BC20" s="79"/>
      <s:c r="BD20" s="26"/>
      <s:c r="BE20" s="80"/>
      <s:c r="BF20" s="76"/>
      <s:c r="BG20" s="26"/>
      <s:c r="BH20" s="27"/>
      <s:c r="BI20" s="79"/>
      <s:c r="BJ20" s="26"/>
      <s:c r="BK20" s="80"/>
      <s:c r="BL20" s="76"/>
      <s:c r="BM20" s="26"/>
      <s:c r="BN20" s="27"/>
      <s:c r="BO20" s="79"/>
      <s:c r="BP20" s="26"/>
      <s:c r="BQ20" s="80"/>
      <s:c r="BR20" s="76"/>
      <s:c r="BS20" s="26"/>
      <s:c r="BT20" s="27"/>
      <s:c r="BU20" s="79"/>
      <s:c r="BV20" s="26"/>
      <s:c r="BW20" s="80"/>
      <s:c r="BX20" s="76"/>
      <s:c r="BY20" s="26"/>
      <s:c r="BZ20" s="27"/>
      <s:c r="CA20" s="79"/>
      <s:c r="CB20" s="26"/>
      <s:c r="CC20" s="80"/>
      <s:c r="CD20" s="76"/>
      <s:c r="CE20" s="26"/>
      <s:c r="CF20" s="27"/>
      <s:c r="CG20" s="79"/>
      <s:c r="CH20" s="26"/>
      <s:c r="CI20" s="80"/>
      <s:c r="CJ20" s="76"/>
      <s:c r="CK20" s="26"/>
      <s:c r="CL20" s="27"/>
      <s:c r="CM20" s="79"/>
      <s:c r="CN20" s="26"/>
      <s:c r="CO20" s="80"/>
      <s:c r="CP20" s="76"/>
      <s:c r="CQ20" s="26"/>
      <s:c r="CR20" s="27"/>
      <s:c r="CS20" s="62">
        <s:f>SUMIFS(D20:CR20,$D$3:$CR$3,"З")</s:f>
        <s:v>0</s:v>
      </s:c>
      <s:c r="CT20" s="63">
        <s:f>SUMIFS(D20:CR20,$D$3:$CR$3,"О")</s:f>
        <s:v>0</s:v>
      </s:c>
      <s:c r="CU20" s="63">
        <s:f>SUMIFS(D20:CR20,$D$3:$CR$3,"У")</s:f>
        <s:v>0</s:v>
      </s:c>
      <s:c r="CV20" s="28">
        <s:f>IF(C20="Да",CS20*$D$46+CT20*$D$47+CU20*$D$48,CS20*$C$46+CT20*$C$47+CU20*$C$48)</s:f>
        <s:v>0</s:v>
      </s:c>
      <s:c r="CW20" s="29" t="str">
        <s:f>IF(C20="Нет",CV20,"")</s:f>
        <s:v/>
      </s:c>
      <s:c r="CX20" s="30" t="str">
        <s:f>IF(C20="Да",CV20,"")</s:f>
        <s:v/>
      </s:c>
      <s:c r="CY20" s="30" t="str">
        <s:f>IF(C20="Налич",CV20,"")</s:f>
        <s:v/>
      </s:c>
    </s:row>
    <s:row r="21" ht="21.75">
      <s:c r="A21" s="23"/>
      <s:c r="B21" s="24"/>
      <s:c r="C21" s="25"/>
      <s:c r="D21" s="49"/>
      <s:c r="E21" s="50"/>
      <s:c r="F21" s="74"/>
      <s:c r="G21" s="79"/>
      <s:c r="H21" s="26"/>
      <s:c r="I21" s="80"/>
      <s:c r="J21" s="76"/>
      <s:c r="K21" s="26"/>
      <s:c r="L21" s="27"/>
      <s:c r="M21" s="79"/>
      <s:c r="N21" s="26"/>
      <s:c r="O21" s="80"/>
      <s:c r="P21" s="76"/>
      <s:c r="Q21" s="26"/>
      <s:c r="R21" s="27"/>
      <s:c r="S21" s="79"/>
      <s:c r="T21" s="26"/>
      <s:c r="U21" s="80"/>
      <s:c r="V21" s="76"/>
      <s:c r="W21" s="26"/>
      <s:c r="X21" s="27"/>
      <s:c r="Y21" s="79"/>
      <s:c r="Z21" s="26"/>
      <s:c r="AA21" s="80"/>
      <s:c r="AB21" s="76"/>
      <s:c r="AC21" s="26"/>
      <s:c r="AD21" s="27"/>
      <s:c r="AE21" s="79"/>
      <s:c r="AF21" s="26"/>
      <s:c r="AG21" s="80"/>
      <s:c r="AH21" s="76"/>
      <s:c r="AI21" s="26"/>
      <s:c r="AJ21" s="27"/>
      <s:c r="AK21" s="79"/>
      <s:c r="AL21" s="26"/>
      <s:c r="AM21" s="80"/>
      <s:c r="AN21" s="76"/>
      <s:c r="AO21" s="26"/>
      <s:c r="AP21" s="27"/>
      <s:c r="AQ21" s="79"/>
      <s:c r="AR21" s="26"/>
      <s:c r="AS21" s="80"/>
      <s:c r="AT21" s="76"/>
      <s:c r="AU21" s="26"/>
      <s:c r="AV21" s="27"/>
      <s:c r="AW21" s="79"/>
      <s:c r="AX21" s="26"/>
      <s:c r="AY21" s="80"/>
      <s:c r="AZ21" s="76"/>
      <s:c r="BA21" s="26"/>
      <s:c r="BB21" s="27"/>
      <s:c r="BC21" s="79"/>
      <s:c r="BD21" s="26"/>
      <s:c r="BE21" s="80"/>
      <s:c r="BF21" s="76"/>
      <s:c r="BG21" s="26"/>
      <s:c r="BH21" s="27"/>
      <s:c r="BI21" s="79"/>
      <s:c r="BJ21" s="26"/>
      <s:c r="BK21" s="80"/>
      <s:c r="BL21" s="76"/>
      <s:c r="BM21" s="26"/>
      <s:c r="BN21" s="27"/>
      <s:c r="BO21" s="79"/>
      <s:c r="BP21" s="26"/>
      <s:c r="BQ21" s="80"/>
      <s:c r="BR21" s="76"/>
      <s:c r="BS21" s="26"/>
      <s:c r="BT21" s="27"/>
      <s:c r="BU21" s="79"/>
      <s:c r="BV21" s="26"/>
      <s:c r="BW21" s="80"/>
      <s:c r="BX21" s="76"/>
      <s:c r="BY21" s="26"/>
      <s:c r="BZ21" s="27"/>
      <s:c r="CA21" s="79"/>
      <s:c r="CB21" s="26"/>
      <s:c r="CC21" s="80"/>
      <s:c r="CD21" s="76"/>
      <s:c r="CE21" s="26"/>
      <s:c r="CF21" s="27"/>
      <s:c r="CG21" s="79"/>
      <s:c r="CH21" s="26"/>
      <s:c r="CI21" s="80"/>
      <s:c r="CJ21" s="76"/>
      <s:c r="CK21" s="26"/>
      <s:c r="CL21" s="27"/>
      <s:c r="CM21" s="79"/>
      <s:c r="CN21" s="26"/>
      <s:c r="CO21" s="80"/>
      <s:c r="CP21" s="76"/>
      <s:c r="CQ21" s="26"/>
      <s:c r="CR21" s="27"/>
      <s:c r="CS21" s="62">
        <s:f>SUMIFS(D21:CR21,$D$3:$CR$3,"З")</s:f>
        <s:v>0</s:v>
      </s:c>
      <s:c r="CT21" s="63">
        <s:f>SUMIFS(D21:CR21,$D$3:$CR$3,"О")</s:f>
        <s:v>0</s:v>
      </s:c>
      <s:c r="CU21" s="63">
        <s:f>SUMIFS(D21:CR21,$D$3:$CR$3,"У")</s:f>
        <s:v>0</s:v>
      </s:c>
      <s:c r="CV21" s="28">
        <s:f>IF(C21="Да",CS21*$D$46+CT21*$D$47+CU21*$D$48,CS21*$C$46+CT21*$C$47+CU21*$C$48)</s:f>
        <s:v>0</s:v>
      </s:c>
      <s:c r="CW21" s="29" t="str">
        <s:f>IF(C21="Нет",CV21,"")</s:f>
        <s:v/>
      </s:c>
      <s:c r="CX21" s="30" t="str">
        <s:f>IF(C21="Да",CV21,"")</s:f>
        <s:v/>
      </s:c>
      <s:c r="CY21" s="30" t="str">
        <s:f>IF(D21="Да",CW21,"")</s:f>
        <s:v/>
      </s:c>
    </s:row>
    <s:row r="22" ht="21.75">
      <s:c r="A22" s="23"/>
      <s:c r="B22" s="33"/>
      <s:c r="C22" s="34"/>
      <s:c r="D22" s="53"/>
      <s:c r="E22" s="54"/>
      <s:c r="F22" s="74"/>
      <s:c r="G22" s="79"/>
      <s:c r="H22" s="26"/>
      <s:c r="I22" s="80"/>
      <s:c r="J22" s="76"/>
      <s:c r="K22" s="26"/>
      <s:c r="L22" s="27"/>
      <s:c r="M22" s="79"/>
      <s:c r="N22" s="26"/>
      <s:c r="O22" s="80"/>
      <s:c r="P22" s="76"/>
      <s:c r="Q22" s="26"/>
      <s:c r="R22" s="27"/>
      <s:c r="S22" s="79"/>
      <s:c r="T22" s="26"/>
      <s:c r="U22" s="80"/>
      <s:c r="V22" s="76"/>
      <s:c r="W22" s="26"/>
      <s:c r="X22" s="27"/>
      <s:c r="Y22" s="79"/>
      <s:c r="Z22" s="26"/>
      <s:c r="AA22" s="80"/>
      <s:c r="AB22" s="76"/>
      <s:c r="AC22" s="26"/>
      <s:c r="AD22" s="27"/>
      <s:c r="AE22" s="79"/>
      <s:c r="AF22" s="26"/>
      <s:c r="AG22" s="80"/>
      <s:c r="AH22" s="76"/>
      <s:c r="AI22" s="26"/>
      <s:c r="AJ22" s="27"/>
      <s:c r="AK22" s="79"/>
      <s:c r="AL22" s="26"/>
      <s:c r="AM22" s="80"/>
      <s:c r="AN22" s="76"/>
      <s:c r="AO22" s="26"/>
      <s:c r="AP22" s="27"/>
      <s:c r="AQ22" s="79"/>
      <s:c r="AR22" s="26"/>
      <s:c r="AS22" s="80"/>
      <s:c r="AT22" s="76"/>
      <s:c r="AU22" s="26"/>
      <s:c r="AV22" s="27"/>
      <s:c r="AW22" s="79"/>
      <s:c r="AX22" s="26"/>
      <s:c r="AY22" s="80"/>
      <s:c r="AZ22" s="76"/>
      <s:c r="BA22" s="26"/>
      <s:c r="BB22" s="27"/>
      <s:c r="BC22" s="79"/>
      <s:c r="BD22" s="26"/>
      <s:c r="BE22" s="80"/>
      <s:c r="BF22" s="76"/>
      <s:c r="BG22" s="26"/>
      <s:c r="BH22" s="27"/>
      <s:c r="BI22" s="79"/>
      <s:c r="BJ22" s="26"/>
      <s:c r="BK22" s="80"/>
      <s:c r="BL22" s="76"/>
      <s:c r="BM22" s="26"/>
      <s:c r="BN22" s="27"/>
      <s:c r="BO22" s="79"/>
      <s:c r="BP22" s="26"/>
      <s:c r="BQ22" s="80"/>
      <s:c r="BR22" s="76"/>
      <s:c r="BS22" s="26"/>
      <s:c r="BT22" s="27"/>
      <s:c r="BU22" s="79"/>
      <s:c r="BV22" s="26"/>
      <s:c r="BW22" s="80"/>
      <s:c r="BX22" s="76"/>
      <s:c r="BY22" s="26"/>
      <s:c r="BZ22" s="27"/>
      <s:c r="CA22" s="79"/>
      <s:c r="CB22" s="26"/>
      <s:c r="CC22" s="80"/>
      <s:c r="CD22" s="76"/>
      <s:c r="CE22" s="26"/>
      <s:c r="CF22" s="27"/>
      <s:c r="CG22" s="79"/>
      <s:c r="CH22" s="26"/>
      <s:c r="CI22" s="80"/>
      <s:c r="CJ22" s="76"/>
      <s:c r="CK22" s="26"/>
      <s:c r="CL22" s="27"/>
      <s:c r="CM22" s="79"/>
      <s:c r="CN22" s="26"/>
      <s:c r="CO22" s="80"/>
      <s:c r="CP22" s="76"/>
      <s:c r="CQ22" s="26"/>
      <s:c r="CR22" s="27"/>
      <s:c r="CS22" s="62">
        <s:f>SUMIFS(D22:CR22,$D$3:$CR$3,"З")</s:f>
        <s:v>0</s:v>
      </s:c>
      <s:c r="CT22" s="63">
        <s:f>SUMIFS(D22:CR22,$D$3:$CR$3,"О")</s:f>
        <s:v>0</s:v>
      </s:c>
      <s:c r="CU22" s="63">
        <s:f>SUMIFS(D22:CR22,$D$3:$CR$3,"У")</s:f>
        <s:v>0</s:v>
      </s:c>
      <s:c r="CV22" s="28">
        <s:f>IF(C22="Да",CS22*$D$46+CT22*$D$47+CU22*$D$48,CS22*$C$46+CT22*$C$47+CU22*$C$48)</s:f>
        <s:v>0</s:v>
      </s:c>
      <s:c r="CW22" s="29" t="str">
        <s:f>IF(C22="Нет",CV22,"")</s:f>
        <s:v/>
      </s:c>
      <s:c r="CX22" s="30" t="str">
        <s:f>IF(C22="Да",CV22,"")</s:f>
        <s:v/>
      </s:c>
      <s:c r="CY22" s="30" t="str">
        <s:f>IF(D22="Да",CW22,"")</s:f>
        <s:v/>
      </s:c>
    </s:row>
    <s:row r="23" ht="21.75">
      <s:c r="A23" s="23"/>
      <s:c r="B23" s="24"/>
      <s:c r="C23" s="25"/>
      <s:c r="D23" s="49"/>
      <s:c r="E23" s="50"/>
      <s:c r="F23" s="74"/>
      <s:c r="G23" s="79"/>
      <s:c r="H23" s="26"/>
      <s:c r="I23" s="80"/>
      <s:c r="J23" s="76"/>
      <s:c r="K23" s="26"/>
      <s:c r="L23" s="27"/>
      <s:c r="M23" s="79"/>
      <s:c r="N23" s="26"/>
      <s:c r="O23" s="80"/>
      <s:c r="P23" s="76"/>
      <s:c r="Q23" s="26"/>
      <s:c r="R23" s="27"/>
      <s:c r="S23" s="79"/>
      <s:c r="T23" s="26"/>
      <s:c r="U23" s="80"/>
      <s:c r="V23" s="76"/>
      <s:c r="W23" s="26"/>
      <s:c r="X23" s="27"/>
      <s:c r="Y23" s="79"/>
      <s:c r="Z23" s="26"/>
      <s:c r="AA23" s="80"/>
      <s:c r="AB23" s="76"/>
      <s:c r="AC23" s="26"/>
      <s:c r="AD23" s="27"/>
      <s:c r="AE23" s="79"/>
      <s:c r="AF23" s="26"/>
      <s:c r="AG23" s="80"/>
      <s:c r="AH23" s="76"/>
      <s:c r="AI23" s="26"/>
      <s:c r="AJ23" s="27"/>
      <s:c r="AK23" s="79"/>
      <s:c r="AL23" s="26"/>
      <s:c r="AM23" s="80"/>
      <s:c r="AN23" s="76"/>
      <s:c r="AO23" s="26"/>
      <s:c r="AP23" s="27"/>
      <s:c r="AQ23" s="79"/>
      <s:c r="AR23" s="26"/>
      <s:c r="AS23" s="80"/>
      <s:c r="AT23" s="76"/>
      <s:c r="AU23" s="26"/>
      <s:c r="AV23" s="27"/>
      <s:c r="AW23" s="79"/>
      <s:c r="AX23" s="26"/>
      <s:c r="AY23" s="80"/>
      <s:c r="AZ23" s="76"/>
      <s:c r="BA23" s="26"/>
      <s:c r="BB23" s="27"/>
      <s:c r="BC23" s="79"/>
      <s:c r="BD23" s="26"/>
      <s:c r="BE23" s="80"/>
      <s:c r="BF23" s="76"/>
      <s:c r="BG23" s="26"/>
      <s:c r="BH23" s="27"/>
      <s:c r="BI23" s="79"/>
      <s:c r="BJ23" s="26"/>
      <s:c r="BK23" s="80"/>
      <s:c r="BL23" s="76"/>
      <s:c r="BM23" s="26"/>
      <s:c r="BN23" s="27"/>
      <s:c r="BO23" s="79"/>
      <s:c r="BP23" s="26"/>
      <s:c r="BQ23" s="80"/>
      <s:c r="BR23" s="76"/>
      <s:c r="BS23" s="26"/>
      <s:c r="BT23" s="27"/>
      <s:c r="BU23" s="79"/>
      <s:c r="BV23" s="26"/>
      <s:c r="BW23" s="80"/>
      <s:c r="BX23" s="76"/>
      <s:c r="BY23" s="26"/>
      <s:c r="BZ23" s="27"/>
      <s:c r="CA23" s="79"/>
      <s:c r="CB23" s="26"/>
      <s:c r="CC23" s="80"/>
      <s:c r="CD23" s="76"/>
      <s:c r="CE23" s="26"/>
      <s:c r="CF23" s="27"/>
      <s:c r="CG23" s="79"/>
      <s:c r="CH23" s="26"/>
      <s:c r="CI23" s="80"/>
      <s:c r="CJ23" s="76"/>
      <s:c r="CK23" s="26"/>
      <s:c r="CL23" s="27"/>
      <s:c r="CM23" s="79"/>
      <s:c r="CN23" s="26"/>
      <s:c r="CO23" s="80"/>
      <s:c r="CP23" s="76"/>
      <s:c r="CQ23" s="26"/>
      <s:c r="CR23" s="27"/>
      <s:c r="CS23" s="62">
        <s:f>SUMIFS(D23:CR23,$D$3:$CR$3,"З")</s:f>
        <s:v>0</s:v>
      </s:c>
      <s:c r="CT23" s="63">
        <s:f>SUMIFS(D23:CR23,$D$3:$CR$3,"О")</s:f>
        <s:v>0</s:v>
      </s:c>
      <s:c r="CU23" s="63">
        <s:f>SUMIFS(D23:CR23,$D$3:$CR$3,"У")</s:f>
        <s:v>0</s:v>
      </s:c>
      <s:c r="CV23" s="28">
        <s:f>IF(C23="Да",CS23*$D$46+CT23*$D$47+CU23*$D$48,CS23*$C$46+CT23*$C$47+CU23*$C$48)</s:f>
        <s:v>0</s:v>
      </s:c>
      <s:c r="CW23" s="29" t="str">
        <s:f>IF(C23="Нет",CV23,"")</s:f>
        <s:v/>
      </s:c>
      <s:c r="CX23" s="30" t="str">
        <s:f>IF(C23="Да",CV23,"")</s:f>
        <s:v/>
      </s:c>
      <s:c r="CY23" s="30" t="str">
        <s:f>IF(D23="Да",CW23,"")</s:f>
        <s:v/>
      </s:c>
    </s:row>
    <s:row r="24" ht="21.75">
      <s:c r="A24" s="23"/>
      <s:c r="B24" s="33"/>
      <s:c r="C24" s="34"/>
      <s:c r="D24" s="53"/>
      <s:c r="E24" s="54"/>
      <s:c r="F24" s="74"/>
      <s:c r="G24" s="79"/>
      <s:c r="H24" s="26"/>
      <s:c r="I24" s="80"/>
      <s:c r="J24" s="76"/>
      <s:c r="K24" s="26"/>
      <s:c r="L24" s="27"/>
      <s:c r="M24" s="79"/>
      <s:c r="N24" s="26"/>
      <s:c r="O24" s="80"/>
      <s:c r="P24" s="76"/>
      <s:c r="Q24" s="26"/>
      <s:c r="R24" s="27"/>
      <s:c r="S24" s="79"/>
      <s:c r="T24" s="26"/>
      <s:c r="U24" s="80"/>
      <s:c r="V24" s="76"/>
      <s:c r="W24" s="26"/>
      <s:c r="X24" s="27"/>
      <s:c r="Y24" s="79"/>
      <s:c r="Z24" s="26"/>
      <s:c r="AA24" s="80"/>
      <s:c r="AB24" s="76"/>
      <s:c r="AC24" s="26"/>
      <s:c r="AD24" s="27"/>
      <s:c r="AE24" s="79"/>
      <s:c r="AF24" s="26"/>
      <s:c r="AG24" s="80"/>
      <s:c r="AH24" s="76"/>
      <s:c r="AI24" s="26"/>
      <s:c r="AJ24" s="27"/>
      <s:c r="AK24" s="79"/>
      <s:c r="AL24" s="26"/>
      <s:c r="AM24" s="80"/>
      <s:c r="AN24" s="76"/>
      <s:c r="AO24" s="26"/>
      <s:c r="AP24" s="27"/>
      <s:c r="AQ24" s="79"/>
      <s:c r="AR24" s="26"/>
      <s:c r="AS24" s="80"/>
      <s:c r="AT24" s="76"/>
      <s:c r="AU24" s="26"/>
      <s:c r="AV24" s="27"/>
      <s:c r="AW24" s="79"/>
      <s:c r="AX24" s="26"/>
      <s:c r="AY24" s="80"/>
      <s:c r="AZ24" s="76"/>
      <s:c r="BA24" s="26"/>
      <s:c r="BB24" s="27"/>
      <s:c r="BC24" s="79"/>
      <s:c r="BD24" s="26"/>
      <s:c r="BE24" s="80"/>
      <s:c r="BF24" s="76"/>
      <s:c r="BG24" s="26"/>
      <s:c r="BH24" s="27"/>
      <s:c r="BI24" s="79"/>
      <s:c r="BJ24" s="26"/>
      <s:c r="BK24" s="80"/>
      <s:c r="BL24" s="76"/>
      <s:c r="BM24" s="26"/>
      <s:c r="BN24" s="27"/>
      <s:c r="BO24" s="79"/>
      <s:c r="BP24" s="26"/>
      <s:c r="BQ24" s="80"/>
      <s:c r="BR24" s="76"/>
      <s:c r="BS24" s="26"/>
      <s:c r="BT24" s="27"/>
      <s:c r="BU24" s="79"/>
      <s:c r="BV24" s="26"/>
      <s:c r="BW24" s="80"/>
      <s:c r="BX24" s="76"/>
      <s:c r="BY24" s="26"/>
      <s:c r="BZ24" s="27"/>
      <s:c r="CA24" s="79"/>
      <s:c r="CB24" s="26"/>
      <s:c r="CC24" s="80"/>
      <s:c r="CD24" s="76"/>
      <s:c r="CE24" s="26"/>
      <s:c r="CF24" s="27"/>
      <s:c r="CG24" s="79"/>
      <s:c r="CH24" s="26"/>
      <s:c r="CI24" s="80"/>
      <s:c r="CJ24" s="76"/>
      <s:c r="CK24" s="26"/>
      <s:c r="CL24" s="27"/>
      <s:c r="CM24" s="79"/>
      <s:c r="CN24" s="26"/>
      <s:c r="CO24" s="80"/>
      <s:c r="CP24" s="76"/>
      <s:c r="CQ24" s="26"/>
      <s:c r="CR24" s="27"/>
      <s:c r="CS24" s="62">
        <s:f>SUMIFS(D24:CR24,$D$3:$CR$3,"З")</s:f>
        <s:v>0</s:v>
      </s:c>
      <s:c r="CT24" s="63">
        <s:f>SUMIFS(D24:CR24,$D$3:$CR$3,"О")</s:f>
        <s:v>0</s:v>
      </s:c>
      <s:c r="CU24" s="63">
        <s:f>SUMIFS(D24:CR24,$D$3:$CR$3,"У")</s:f>
        <s:v>0</s:v>
      </s:c>
      <s:c r="CV24" s="28">
        <s:f>IF(C24="Да",CS24*$D$46+CT24*$D$47+CU24*$D$48,CS24*$C$46+CT24*$C$47+CU24*$C$48)</s:f>
        <s:v>0</s:v>
      </s:c>
      <s:c r="CW24" s="29" t="str">
        <s:f>IF(C24="Нет",CV24,"")</s:f>
        <s:v/>
      </s:c>
      <s:c r="CX24" s="30" t="str">
        <s:f>IF(C24="Да",CV24,"")</s:f>
        <s:v/>
      </s:c>
      <s:c r="CY24" s="30" t="str">
        <s:f>IF(D24="Да",CW24,"")</s:f>
        <s:v/>
      </s:c>
    </s:row>
    <s:row r="25" ht="21.75">
      <s:c r="A25" s="23"/>
      <s:c r="B25" s="33"/>
      <s:c r="C25" s="34"/>
      <s:c r="D25" s="53"/>
      <s:c r="E25" s="54"/>
      <s:c r="F25" s="74"/>
      <s:c r="G25" s="79"/>
      <s:c r="H25" s="26"/>
      <s:c r="I25" s="80"/>
      <s:c r="J25" s="76"/>
      <s:c r="K25" s="26"/>
      <s:c r="L25" s="27"/>
      <s:c r="M25" s="79"/>
      <s:c r="N25" s="26"/>
      <s:c r="O25" s="80"/>
      <s:c r="P25" s="76"/>
      <s:c r="Q25" s="26"/>
      <s:c r="R25" s="27"/>
      <s:c r="S25" s="79"/>
      <s:c r="T25" s="26"/>
      <s:c r="U25" s="80"/>
      <s:c r="V25" s="76"/>
      <s:c r="W25" s="26"/>
      <s:c r="X25" s="27"/>
      <s:c r="Y25" s="79"/>
      <s:c r="Z25" s="26"/>
      <s:c r="AA25" s="80"/>
      <s:c r="AB25" s="76"/>
      <s:c r="AC25" s="26"/>
      <s:c r="AD25" s="27"/>
      <s:c r="AE25" s="79"/>
      <s:c r="AF25" s="26"/>
      <s:c r="AG25" s="80"/>
      <s:c r="AH25" s="76"/>
      <s:c r="AI25" s="26"/>
      <s:c r="AJ25" s="27"/>
      <s:c r="AK25" s="79"/>
      <s:c r="AL25" s="26"/>
      <s:c r="AM25" s="80"/>
      <s:c r="AN25" s="76"/>
      <s:c r="AO25" s="26"/>
      <s:c r="AP25" s="27"/>
      <s:c r="AQ25" s="79"/>
      <s:c r="AR25" s="26"/>
      <s:c r="AS25" s="80"/>
      <s:c r="AT25" s="76"/>
      <s:c r="AU25" s="26"/>
      <s:c r="AV25" s="27"/>
      <s:c r="AW25" s="79"/>
      <s:c r="AX25" s="26"/>
      <s:c r="AY25" s="80"/>
      <s:c r="AZ25" s="76"/>
      <s:c r="BA25" s="26"/>
      <s:c r="BB25" s="27"/>
      <s:c r="BC25" s="79"/>
      <s:c r="BD25" s="26"/>
      <s:c r="BE25" s="80"/>
      <s:c r="BF25" s="76"/>
      <s:c r="BG25" s="26"/>
      <s:c r="BH25" s="27"/>
      <s:c r="BI25" s="79"/>
      <s:c r="BJ25" s="26"/>
      <s:c r="BK25" s="80"/>
      <s:c r="BL25" s="76"/>
      <s:c r="BM25" s="26"/>
      <s:c r="BN25" s="27"/>
      <s:c r="BO25" s="79"/>
      <s:c r="BP25" s="26"/>
      <s:c r="BQ25" s="80"/>
      <s:c r="BR25" s="76"/>
      <s:c r="BS25" s="26"/>
      <s:c r="BT25" s="27"/>
      <s:c r="BU25" s="79"/>
      <s:c r="BV25" s="26"/>
      <s:c r="BW25" s="80"/>
      <s:c r="BX25" s="76"/>
      <s:c r="BY25" s="26"/>
      <s:c r="BZ25" s="27"/>
      <s:c r="CA25" s="79"/>
      <s:c r="CB25" s="26"/>
      <s:c r="CC25" s="80"/>
      <s:c r="CD25" s="76"/>
      <s:c r="CE25" s="26"/>
      <s:c r="CF25" s="27"/>
      <s:c r="CG25" s="79"/>
      <s:c r="CH25" s="26"/>
      <s:c r="CI25" s="80"/>
      <s:c r="CJ25" s="76"/>
      <s:c r="CK25" s="26"/>
      <s:c r="CL25" s="27"/>
      <s:c r="CM25" s="79"/>
      <s:c r="CN25" s="26"/>
      <s:c r="CO25" s="80"/>
      <s:c r="CP25" s="76"/>
      <s:c r="CQ25" s="26"/>
      <s:c r="CR25" s="27"/>
      <s:c r="CS25" s="62">
        <s:f>SUMIFS(D25:CR25,$D$3:$CR$3,"З")</s:f>
        <s:v>0</s:v>
      </s:c>
      <s:c r="CT25" s="63">
        <s:f>SUMIFS(D25:CR25,$D$3:$CR$3,"О")</s:f>
        <s:v>0</s:v>
      </s:c>
      <s:c r="CU25" s="63">
        <s:f>SUMIFS(D25:CR25,$D$3:$CR$3,"У")</s:f>
        <s:v>0</s:v>
      </s:c>
      <s:c r="CV25" s="28">
        <s:f>IF(C25="Да",CS25*$D$46+CT25*$D$47+CU25*$D$48,CS25*$C$46+CT25*$C$47+CU25*$C$48)</s:f>
        <s:v>0</s:v>
      </s:c>
      <s:c r="CW25" s="29" t="str">
        <s:f>IF(C25="Нет",CV25,"")</s:f>
        <s:v/>
      </s:c>
      <s:c r="CX25" s="30" t="str">
        <s:f>IF(C25="Да",CV25,"")</s:f>
        <s:v/>
      </s:c>
      <s:c r="CY25" s="30" t="str">
        <s:f>IF(D25="Да",CW25,"")</s:f>
        <s:v/>
      </s:c>
    </s:row>
    <s:row r="26" ht="21.75">
      <s:c r="A26" s="23"/>
      <s:c r="B26" s="24"/>
      <s:c r="C26" s="25"/>
      <s:c r="D26" s="49"/>
      <s:c r="E26" s="50"/>
      <s:c r="F26" s="74"/>
      <s:c r="G26" s="79"/>
      <s:c r="H26" s="26"/>
      <s:c r="I26" s="80"/>
      <s:c r="J26" s="76"/>
      <s:c r="K26" s="26"/>
      <s:c r="L26" s="27"/>
      <s:c r="M26" s="79"/>
      <s:c r="N26" s="26"/>
      <s:c r="O26" s="80"/>
      <s:c r="P26" s="76"/>
      <s:c r="Q26" s="26"/>
      <s:c r="R26" s="27"/>
      <s:c r="S26" s="79"/>
      <s:c r="T26" s="26"/>
      <s:c r="U26" s="80"/>
      <s:c r="V26" s="76"/>
      <s:c r="W26" s="26"/>
      <s:c r="X26" s="27"/>
      <s:c r="Y26" s="79"/>
      <s:c r="Z26" s="26"/>
      <s:c r="AA26" s="80"/>
      <s:c r="AB26" s="76"/>
      <s:c r="AC26" s="26"/>
      <s:c r="AD26" s="27"/>
      <s:c r="AE26" s="79"/>
      <s:c r="AF26" s="26"/>
      <s:c r="AG26" s="80"/>
      <s:c r="AH26" s="76"/>
      <s:c r="AI26" s="26"/>
      <s:c r="AJ26" s="27"/>
      <s:c r="AK26" s="79"/>
      <s:c r="AL26" s="26"/>
      <s:c r="AM26" s="80"/>
      <s:c r="AN26" s="76"/>
      <s:c r="AO26" s="26"/>
      <s:c r="AP26" s="27"/>
      <s:c r="AQ26" s="79"/>
      <s:c r="AR26" s="26"/>
      <s:c r="AS26" s="80"/>
      <s:c r="AT26" s="76"/>
      <s:c r="AU26" s="26"/>
      <s:c r="AV26" s="27"/>
      <s:c r="AW26" s="79"/>
      <s:c r="AX26" s="26"/>
      <s:c r="AY26" s="80"/>
      <s:c r="AZ26" s="76"/>
      <s:c r="BA26" s="26"/>
      <s:c r="BB26" s="27"/>
      <s:c r="BC26" s="79"/>
      <s:c r="BD26" s="26"/>
      <s:c r="BE26" s="80"/>
      <s:c r="BF26" s="76"/>
      <s:c r="BG26" s="26"/>
      <s:c r="BH26" s="27"/>
      <s:c r="BI26" s="79"/>
      <s:c r="BJ26" s="26"/>
      <s:c r="BK26" s="80"/>
      <s:c r="BL26" s="76"/>
      <s:c r="BM26" s="26"/>
      <s:c r="BN26" s="27"/>
      <s:c r="BO26" s="79"/>
      <s:c r="BP26" s="26"/>
      <s:c r="BQ26" s="80"/>
      <s:c r="BR26" s="76"/>
      <s:c r="BS26" s="26"/>
      <s:c r="BT26" s="27"/>
      <s:c r="BU26" s="79"/>
      <s:c r="BV26" s="26"/>
      <s:c r="BW26" s="80"/>
      <s:c r="BX26" s="76"/>
      <s:c r="BY26" s="26"/>
      <s:c r="BZ26" s="27"/>
      <s:c r="CA26" s="79"/>
      <s:c r="CB26" s="26"/>
      <s:c r="CC26" s="80"/>
      <s:c r="CD26" s="76"/>
      <s:c r="CE26" s="26"/>
      <s:c r="CF26" s="27"/>
      <s:c r="CG26" s="79"/>
      <s:c r="CH26" s="26"/>
      <s:c r="CI26" s="80"/>
      <s:c r="CJ26" s="76"/>
      <s:c r="CK26" s="26"/>
      <s:c r="CL26" s="27"/>
      <s:c r="CM26" s="79"/>
      <s:c r="CN26" s="26"/>
      <s:c r="CO26" s="80"/>
      <s:c r="CP26" s="76"/>
      <s:c r="CQ26" s="26"/>
      <s:c r="CR26" s="27"/>
      <s:c r="CS26" s="62">
        <s:f>SUMIFS(D26:CR26,$D$3:$CR$3,"З")</s:f>
        <s:v>0</s:v>
      </s:c>
      <s:c r="CT26" s="63">
        <s:f>SUMIFS(D26:CR26,$D$3:$CR$3,"О")</s:f>
        <s:v>0</s:v>
      </s:c>
      <s:c r="CU26" s="63">
        <s:f>SUMIFS(D26:CR26,$D$3:$CR$3,"У")</s:f>
        <s:v>0</s:v>
      </s:c>
      <s:c r="CV26" s="28">
        <s:f>IF(C26="Да",CS26*$D$46+CT26*$D$47+CU26*$D$48,CS26*$C$46+CT26*$C$47+CU26*$C$48)</s:f>
        <s:v>0</s:v>
      </s:c>
      <s:c r="CW26" s="29" t="str">
        <s:f>IF(C26="Нет",CV26,"")</s:f>
        <s:v/>
      </s:c>
      <s:c r="CX26" s="30" t="str">
        <s:f>IF(C26="Да",CV26,"")</s:f>
        <s:v/>
      </s:c>
      <s:c r="CY26" s="30" t="str">
        <s:f>IF(D26="Да",CW26,"")</s:f>
        <s:v/>
      </s:c>
    </s:row>
    <s:row r="27" ht="21.75">
      <s:c r="A27" s="23"/>
      <s:c r="B27" s="24"/>
      <s:c r="C27" s="25"/>
      <s:c r="D27" s="49"/>
      <s:c r="E27" s="50"/>
      <s:c r="F27" s="74"/>
      <s:c r="G27" s="79"/>
      <s:c r="H27" s="26"/>
      <s:c r="I27" s="80"/>
      <s:c r="J27" s="76"/>
      <s:c r="K27" s="26"/>
      <s:c r="L27" s="27"/>
      <s:c r="M27" s="79"/>
      <s:c r="N27" s="26"/>
      <s:c r="O27" s="80"/>
      <s:c r="P27" s="76"/>
      <s:c r="Q27" s="26"/>
      <s:c r="R27" s="27"/>
      <s:c r="S27" s="79"/>
      <s:c r="T27" s="26"/>
      <s:c r="U27" s="80"/>
      <s:c r="V27" s="76"/>
      <s:c r="W27" s="26"/>
      <s:c r="X27" s="27"/>
      <s:c r="Y27" s="79"/>
      <s:c r="Z27" s="26"/>
      <s:c r="AA27" s="80"/>
      <s:c r="AB27" s="76"/>
      <s:c r="AC27" s="26"/>
      <s:c r="AD27" s="27"/>
      <s:c r="AE27" s="79"/>
      <s:c r="AF27" s="26"/>
      <s:c r="AG27" s="80"/>
      <s:c r="AH27" s="76"/>
      <s:c r="AI27" s="26"/>
      <s:c r="AJ27" s="27"/>
      <s:c r="AK27" s="79"/>
      <s:c r="AL27" s="26"/>
      <s:c r="AM27" s="80"/>
      <s:c r="AN27" s="76"/>
      <s:c r="AO27" s="26"/>
      <s:c r="AP27" s="27"/>
      <s:c r="AQ27" s="79"/>
      <s:c r="AR27" s="26"/>
      <s:c r="AS27" s="80"/>
      <s:c r="AT27" s="76"/>
      <s:c r="AU27" s="26"/>
      <s:c r="AV27" s="27"/>
      <s:c r="AW27" s="79"/>
      <s:c r="AX27" s="26"/>
      <s:c r="AY27" s="80"/>
      <s:c r="AZ27" s="76"/>
      <s:c r="BA27" s="26"/>
      <s:c r="BB27" s="27"/>
      <s:c r="BC27" s="79"/>
      <s:c r="BD27" s="26"/>
      <s:c r="BE27" s="80"/>
      <s:c r="BF27" s="76"/>
      <s:c r="BG27" s="26"/>
      <s:c r="BH27" s="27"/>
      <s:c r="BI27" s="79"/>
      <s:c r="BJ27" s="26"/>
      <s:c r="BK27" s="80"/>
      <s:c r="BL27" s="76"/>
      <s:c r="BM27" s="26"/>
      <s:c r="BN27" s="27"/>
      <s:c r="BO27" s="79"/>
      <s:c r="BP27" s="26"/>
      <s:c r="BQ27" s="80"/>
      <s:c r="BR27" s="76"/>
      <s:c r="BS27" s="26"/>
      <s:c r="BT27" s="27"/>
      <s:c r="BU27" s="79"/>
      <s:c r="BV27" s="26"/>
      <s:c r="BW27" s="80"/>
      <s:c r="BX27" s="76"/>
      <s:c r="BY27" s="26"/>
      <s:c r="BZ27" s="27"/>
      <s:c r="CA27" s="79"/>
      <s:c r="CB27" s="26"/>
      <s:c r="CC27" s="80"/>
      <s:c r="CD27" s="76"/>
      <s:c r="CE27" s="26"/>
      <s:c r="CF27" s="27"/>
      <s:c r="CG27" s="79"/>
      <s:c r="CH27" s="26"/>
      <s:c r="CI27" s="80"/>
      <s:c r="CJ27" s="76"/>
      <s:c r="CK27" s="26"/>
      <s:c r="CL27" s="27"/>
      <s:c r="CM27" s="79"/>
      <s:c r="CN27" s="26"/>
      <s:c r="CO27" s="80"/>
      <s:c r="CP27" s="76"/>
      <s:c r="CQ27" s="26"/>
      <s:c r="CR27" s="27"/>
      <s:c r="CS27" s="62">
        <s:f>SUMIFS(D27:CR27,$D$3:$CR$3,"З")</s:f>
        <s:v>0</s:v>
      </s:c>
      <s:c r="CT27" s="63">
        <s:f>SUMIFS(D27:CR27,$D$3:$CR$3,"О")</s:f>
        <s:v>0</s:v>
      </s:c>
      <s:c r="CU27" s="63">
        <s:f>SUMIFS(D27:CR27,$D$3:$CR$3,"У")</s:f>
        <s:v>0</s:v>
      </s:c>
      <s:c r="CV27" s="28">
        <s:f>IF(C27="Да",CS27*$D$46+CT27*$D$47+CU27*$D$48,CS27*$C$46+CT27*$C$47+CU27*$C$48)</s:f>
        <s:v>0</s:v>
      </s:c>
      <s:c r="CW27" s="29" t="str">
        <s:f>IF(C27="Нет",CV27,"")</s:f>
        <s:v/>
      </s:c>
      <s:c r="CX27" s="30" t="str">
        <s:f>IF(C27="Да",CV27,"")</s:f>
        <s:v/>
      </s:c>
      <s:c r="CY27" s="30" t="str">
        <s:f>IF(D27="Да",CW27,"")</s:f>
        <s:v/>
      </s:c>
    </s:row>
    <s:row r="28" ht="21.75">
      <s:c r="A28" s="23"/>
      <s:c r="B28" s="24"/>
      <s:c r="C28" s="25"/>
      <s:c r="D28" s="49"/>
      <s:c r="E28" s="50"/>
      <s:c r="F28" s="74"/>
      <s:c r="G28" s="79"/>
      <s:c r="H28" s="26"/>
      <s:c r="I28" s="80"/>
      <s:c r="J28" s="76"/>
      <s:c r="K28" s="26"/>
      <s:c r="L28" s="27"/>
      <s:c r="M28" s="79"/>
      <s:c r="N28" s="26"/>
      <s:c r="O28" s="80"/>
      <s:c r="P28" s="76"/>
      <s:c r="Q28" s="26"/>
      <s:c r="R28" s="27"/>
      <s:c r="S28" s="79"/>
      <s:c r="T28" s="26"/>
      <s:c r="U28" s="80"/>
      <s:c r="V28" s="76"/>
      <s:c r="W28" s="26"/>
      <s:c r="X28" s="27"/>
      <s:c r="Y28" s="79"/>
      <s:c r="Z28" s="26"/>
      <s:c r="AA28" s="80"/>
      <s:c r="AB28" s="76"/>
      <s:c r="AC28" s="26"/>
      <s:c r="AD28" s="27"/>
      <s:c r="AE28" s="79"/>
      <s:c r="AF28" s="26"/>
      <s:c r="AG28" s="80"/>
      <s:c r="AH28" s="76"/>
      <s:c r="AI28" s="26"/>
      <s:c r="AJ28" s="27"/>
      <s:c r="AK28" s="79"/>
      <s:c r="AL28" s="26"/>
      <s:c r="AM28" s="80"/>
      <s:c r="AN28" s="76"/>
      <s:c r="AO28" s="26"/>
      <s:c r="AP28" s="27"/>
      <s:c r="AQ28" s="79"/>
      <s:c r="AR28" s="26"/>
      <s:c r="AS28" s="80"/>
      <s:c r="AT28" s="76"/>
      <s:c r="AU28" s="26"/>
      <s:c r="AV28" s="27"/>
      <s:c r="AW28" s="79"/>
      <s:c r="AX28" s="26"/>
      <s:c r="AY28" s="80"/>
      <s:c r="AZ28" s="76"/>
      <s:c r="BA28" s="26"/>
      <s:c r="BB28" s="27"/>
      <s:c r="BC28" s="79"/>
      <s:c r="BD28" s="26"/>
      <s:c r="BE28" s="80"/>
      <s:c r="BF28" s="76"/>
      <s:c r="BG28" s="26"/>
      <s:c r="BH28" s="27"/>
      <s:c r="BI28" s="79"/>
      <s:c r="BJ28" s="26"/>
      <s:c r="BK28" s="80"/>
      <s:c r="BL28" s="76"/>
      <s:c r="BM28" s="26"/>
      <s:c r="BN28" s="27"/>
      <s:c r="BO28" s="79"/>
      <s:c r="BP28" s="26"/>
      <s:c r="BQ28" s="80"/>
      <s:c r="BR28" s="76"/>
      <s:c r="BS28" s="26"/>
      <s:c r="BT28" s="27"/>
      <s:c r="BU28" s="79"/>
      <s:c r="BV28" s="26"/>
      <s:c r="BW28" s="80"/>
      <s:c r="BX28" s="76"/>
      <s:c r="BY28" s="26"/>
      <s:c r="BZ28" s="27"/>
      <s:c r="CA28" s="79"/>
      <s:c r="CB28" s="26"/>
      <s:c r="CC28" s="80"/>
      <s:c r="CD28" s="76"/>
      <s:c r="CE28" s="26"/>
      <s:c r="CF28" s="27"/>
      <s:c r="CG28" s="79"/>
      <s:c r="CH28" s="26"/>
      <s:c r="CI28" s="80"/>
      <s:c r="CJ28" s="76"/>
      <s:c r="CK28" s="26"/>
      <s:c r="CL28" s="27"/>
      <s:c r="CM28" s="79"/>
      <s:c r="CN28" s="26"/>
      <s:c r="CO28" s="80"/>
      <s:c r="CP28" s="76"/>
      <s:c r="CQ28" s="26"/>
      <s:c r="CR28" s="27"/>
      <s:c r="CS28" s="62">
        <s:f>SUMIFS(D28:CR28,$D$3:$CR$3,"З")</s:f>
        <s:v>0</s:v>
      </s:c>
      <s:c r="CT28" s="63">
        <s:f>SUMIFS(D28:CR28,$D$3:$CR$3,"О")</s:f>
        <s:v>0</s:v>
      </s:c>
      <s:c r="CU28" s="63">
        <s:f>SUMIFS(D28:CR28,$D$3:$CR$3,"У")</s:f>
        <s:v>0</s:v>
      </s:c>
      <s:c r="CV28" s="28">
        <s:f>IF(C28="Да",CS28*$D$46+CT28*$D$47+CU28*$D$48,CS28*$C$46+CT28*$C$47+CU28*$C$48)</s:f>
        <s:v>0</s:v>
      </s:c>
      <s:c r="CW28" s="29" t="str">
        <s:f>IF(C28="Нет",CV28,"")</s:f>
        <s:v/>
      </s:c>
      <s:c r="CX28" s="30" t="str">
        <s:f>IF(C28="Да",CV28,"")</s:f>
        <s:v/>
      </s:c>
      <s:c r="CY28" s="30" t="str">
        <s:f>IF(D28="Да",CW28,"")</s:f>
        <s:v/>
      </s:c>
    </s:row>
    <s:row r="29" ht="21.75">
      <s:c r="A29" s="23"/>
      <s:c r="B29" s="24"/>
      <s:c r="C29" s="25"/>
      <s:c r="D29" s="49"/>
      <s:c r="E29" s="50"/>
      <s:c r="F29" s="74"/>
      <s:c r="G29" s="79"/>
      <s:c r="H29" s="26"/>
      <s:c r="I29" s="80"/>
      <s:c r="J29" s="76"/>
      <s:c r="K29" s="26"/>
      <s:c r="L29" s="27"/>
      <s:c r="M29" s="79"/>
      <s:c r="N29" s="26"/>
      <s:c r="O29" s="80"/>
      <s:c r="P29" s="76"/>
      <s:c r="Q29" s="26"/>
      <s:c r="R29" s="27"/>
      <s:c r="S29" s="79"/>
      <s:c r="T29" s="26"/>
      <s:c r="U29" s="80"/>
      <s:c r="V29" s="76"/>
      <s:c r="W29" s="26"/>
      <s:c r="X29" s="27"/>
      <s:c r="Y29" s="79"/>
      <s:c r="Z29" s="26"/>
      <s:c r="AA29" s="80"/>
      <s:c r="AB29" s="76"/>
      <s:c r="AC29" s="26"/>
      <s:c r="AD29" s="27"/>
      <s:c r="AE29" s="79"/>
      <s:c r="AF29" s="26"/>
      <s:c r="AG29" s="80"/>
      <s:c r="AH29" s="76"/>
      <s:c r="AI29" s="26"/>
      <s:c r="AJ29" s="27"/>
      <s:c r="AK29" s="79"/>
      <s:c r="AL29" s="26"/>
      <s:c r="AM29" s="80"/>
      <s:c r="AN29" s="76"/>
      <s:c r="AO29" s="26"/>
      <s:c r="AP29" s="27"/>
      <s:c r="AQ29" s="79"/>
      <s:c r="AR29" s="26"/>
      <s:c r="AS29" s="80"/>
      <s:c r="AT29" s="76"/>
      <s:c r="AU29" s="26"/>
      <s:c r="AV29" s="27"/>
      <s:c r="AW29" s="79"/>
      <s:c r="AX29" s="26"/>
      <s:c r="AY29" s="80"/>
      <s:c r="AZ29" s="76"/>
      <s:c r="BA29" s="26"/>
      <s:c r="BB29" s="27"/>
      <s:c r="BC29" s="79"/>
      <s:c r="BD29" s="26"/>
      <s:c r="BE29" s="80"/>
      <s:c r="BF29" s="76"/>
      <s:c r="BG29" s="26"/>
      <s:c r="BH29" s="27"/>
      <s:c r="BI29" s="79"/>
      <s:c r="BJ29" s="26"/>
      <s:c r="BK29" s="80"/>
      <s:c r="BL29" s="76"/>
      <s:c r="BM29" s="26"/>
      <s:c r="BN29" s="27"/>
      <s:c r="BO29" s="79"/>
      <s:c r="BP29" s="26"/>
      <s:c r="BQ29" s="80"/>
      <s:c r="BR29" s="76"/>
      <s:c r="BS29" s="26"/>
      <s:c r="BT29" s="27"/>
      <s:c r="BU29" s="79"/>
      <s:c r="BV29" s="26"/>
      <s:c r="BW29" s="80"/>
      <s:c r="BX29" s="76"/>
      <s:c r="BY29" s="26"/>
      <s:c r="BZ29" s="27"/>
      <s:c r="CA29" s="79"/>
      <s:c r="CB29" s="26"/>
      <s:c r="CC29" s="80"/>
      <s:c r="CD29" s="76"/>
      <s:c r="CE29" s="26"/>
      <s:c r="CF29" s="27"/>
      <s:c r="CG29" s="79"/>
      <s:c r="CH29" s="26"/>
      <s:c r="CI29" s="80"/>
      <s:c r="CJ29" s="76"/>
      <s:c r="CK29" s="26"/>
      <s:c r="CL29" s="27"/>
      <s:c r="CM29" s="79"/>
      <s:c r="CN29" s="26"/>
      <s:c r="CO29" s="80"/>
      <s:c r="CP29" s="76"/>
      <s:c r="CQ29" s="26"/>
      <s:c r="CR29" s="27"/>
      <s:c r="CS29" s="62">
        <s:f>SUMIFS(D29:CR29,$D$3:$CR$3,"З")</s:f>
        <s:v>0</s:v>
      </s:c>
      <s:c r="CT29" s="63">
        <s:f>SUMIFS(D29:CR29,$D$3:$CR$3,"О")</s:f>
        <s:v>0</s:v>
      </s:c>
      <s:c r="CU29" s="63">
        <s:f>SUMIFS(D29:CR29,$D$3:$CR$3,"У")</s:f>
        <s:v>0</s:v>
      </s:c>
      <s:c r="CV29" s="28">
        <s:f>IF(C29="Да",CS29*$D$46+CT29*$D$47+CU29*$D$48,CS29*$C$46+CT29*$C$47+CU29*$C$48)</s:f>
        <s:v>0</s:v>
      </s:c>
      <s:c r="CW29" s="29" t="str">
        <s:f>IF(C29="Нет",CV29,"")</s:f>
        <s:v/>
      </s:c>
      <s:c r="CX29" s="30" t="str">
        <s:f>IF(C29="Да",CV29,"")</s:f>
        <s:v/>
      </s:c>
      <s:c r="CY29" s="30" t="str">
        <s:f>IF(D29="Да",CW29,"")</s:f>
        <s:v/>
      </s:c>
    </s:row>
    <s:row r="30" ht="21.75">
      <s:c r="A30" s="23"/>
      <s:c r="B30" s="24"/>
      <s:c r="C30" s="25"/>
      <s:c r="D30" s="49"/>
      <s:c r="E30" s="50"/>
      <s:c r="F30" s="74"/>
      <s:c r="G30" s="79"/>
      <s:c r="H30" s="26"/>
      <s:c r="I30" s="80"/>
      <s:c r="J30" s="76"/>
      <s:c r="K30" s="26"/>
      <s:c r="L30" s="27"/>
      <s:c r="M30" s="79"/>
      <s:c r="N30" s="26"/>
      <s:c r="O30" s="80"/>
      <s:c r="P30" s="76"/>
      <s:c r="Q30" s="26"/>
      <s:c r="R30" s="27"/>
      <s:c r="S30" s="79"/>
      <s:c r="T30" s="26"/>
      <s:c r="U30" s="80"/>
      <s:c r="V30" s="76"/>
      <s:c r="W30" s="26"/>
      <s:c r="X30" s="27"/>
      <s:c r="Y30" s="79"/>
      <s:c r="Z30" s="26"/>
      <s:c r="AA30" s="80"/>
      <s:c r="AB30" s="76"/>
      <s:c r="AC30" s="26"/>
      <s:c r="AD30" s="27"/>
      <s:c r="AE30" s="79"/>
      <s:c r="AF30" s="26"/>
      <s:c r="AG30" s="80"/>
      <s:c r="AH30" s="76"/>
      <s:c r="AI30" s="26"/>
      <s:c r="AJ30" s="27"/>
      <s:c r="AK30" s="79"/>
      <s:c r="AL30" s="26"/>
      <s:c r="AM30" s="80"/>
      <s:c r="AN30" s="76"/>
      <s:c r="AO30" s="26"/>
      <s:c r="AP30" s="27"/>
      <s:c r="AQ30" s="79"/>
      <s:c r="AR30" s="26"/>
      <s:c r="AS30" s="80"/>
      <s:c r="AT30" s="76"/>
      <s:c r="AU30" s="26"/>
      <s:c r="AV30" s="27"/>
      <s:c r="AW30" s="79"/>
      <s:c r="AX30" s="26"/>
      <s:c r="AY30" s="80"/>
      <s:c r="AZ30" s="76"/>
      <s:c r="BA30" s="26"/>
      <s:c r="BB30" s="27"/>
      <s:c r="BC30" s="79"/>
      <s:c r="BD30" s="26"/>
      <s:c r="BE30" s="80"/>
      <s:c r="BF30" s="76"/>
      <s:c r="BG30" s="26"/>
      <s:c r="BH30" s="27"/>
      <s:c r="BI30" s="79"/>
      <s:c r="BJ30" s="26"/>
      <s:c r="BK30" s="80"/>
      <s:c r="BL30" s="76"/>
      <s:c r="BM30" s="26"/>
      <s:c r="BN30" s="27"/>
      <s:c r="BO30" s="79"/>
      <s:c r="BP30" s="26"/>
      <s:c r="BQ30" s="80"/>
      <s:c r="BR30" s="76"/>
      <s:c r="BS30" s="26"/>
      <s:c r="BT30" s="27"/>
      <s:c r="BU30" s="79"/>
      <s:c r="BV30" s="26"/>
      <s:c r="BW30" s="80"/>
      <s:c r="BX30" s="76"/>
      <s:c r="BY30" s="26"/>
      <s:c r="BZ30" s="27"/>
      <s:c r="CA30" s="79"/>
      <s:c r="CB30" s="26"/>
      <s:c r="CC30" s="80"/>
      <s:c r="CD30" s="76"/>
      <s:c r="CE30" s="26"/>
      <s:c r="CF30" s="27"/>
      <s:c r="CG30" s="79"/>
      <s:c r="CH30" s="26"/>
      <s:c r="CI30" s="80"/>
      <s:c r="CJ30" s="76"/>
      <s:c r="CK30" s="26"/>
      <s:c r="CL30" s="27"/>
      <s:c r="CM30" s="79"/>
      <s:c r="CN30" s="26"/>
      <s:c r="CO30" s="80"/>
      <s:c r="CP30" s="76"/>
      <s:c r="CQ30" s="26"/>
      <s:c r="CR30" s="27"/>
      <s:c r="CS30" s="62">
        <s:f>SUMIFS(D30:CR30,$D$3:$CR$3,"З")</s:f>
        <s:v>0</s:v>
      </s:c>
      <s:c r="CT30" s="63">
        <s:f>SUMIFS(D30:CR30,$D$3:$CR$3,"О")</s:f>
        <s:v>0</s:v>
      </s:c>
      <s:c r="CU30" s="63">
        <s:f>SUMIFS(D30:CR30,$D$3:$CR$3,"У")</s:f>
        <s:v>0</s:v>
      </s:c>
      <s:c r="CV30" s="28">
        <s:f>IF(C30="Да",CS30*$D$46+CT30*$D$47+CU30*$D$48,CS30*$C$46+CT30*$C$47+CU30*$C$48)</s:f>
        <s:v>0</s:v>
      </s:c>
      <s:c r="CW30" s="29" t="str">
        <s:f>IF(C30="Нет",CV30,"")</s:f>
        <s:v/>
      </s:c>
      <s:c r="CX30" s="30" t="str">
        <s:f>IF(C30="Да",CV30,"")</s:f>
        <s:v/>
      </s:c>
      <s:c r="CY30" s="30" t="str">
        <s:f>IF(D30="Да",CW30,"")</s:f>
        <s:v/>
      </s:c>
    </s:row>
    <s:row r="31" ht="21.75">
      <s:c r="A31" s="23"/>
      <s:c r="B31" s="24"/>
      <s:c r="C31" s="25"/>
      <s:c r="D31" s="49"/>
      <s:c r="E31" s="50"/>
      <s:c r="F31" s="74"/>
      <s:c r="G31" s="79"/>
      <s:c r="H31" s="26"/>
      <s:c r="I31" s="80"/>
      <s:c r="J31" s="76"/>
      <s:c r="K31" s="26"/>
      <s:c r="L31" s="27"/>
      <s:c r="M31" s="79"/>
      <s:c r="N31" s="26"/>
      <s:c r="O31" s="80"/>
      <s:c r="P31" s="76"/>
      <s:c r="Q31" s="26"/>
      <s:c r="R31" s="27"/>
      <s:c r="S31" s="79"/>
      <s:c r="T31" s="26"/>
      <s:c r="U31" s="80"/>
      <s:c r="V31" s="76"/>
      <s:c r="W31" s="26"/>
      <s:c r="X31" s="27"/>
      <s:c r="Y31" s="79"/>
      <s:c r="Z31" s="26"/>
      <s:c r="AA31" s="80"/>
      <s:c r="AB31" s="76"/>
      <s:c r="AC31" s="26"/>
      <s:c r="AD31" s="27"/>
      <s:c r="AE31" s="79"/>
      <s:c r="AF31" s="26"/>
      <s:c r="AG31" s="80"/>
      <s:c r="AH31" s="76"/>
      <s:c r="AI31" s="26"/>
      <s:c r="AJ31" s="27"/>
      <s:c r="AK31" s="79"/>
      <s:c r="AL31" s="26"/>
      <s:c r="AM31" s="80"/>
      <s:c r="AN31" s="76"/>
      <s:c r="AO31" s="26"/>
      <s:c r="AP31" s="27"/>
      <s:c r="AQ31" s="79"/>
      <s:c r="AR31" s="26"/>
      <s:c r="AS31" s="80"/>
      <s:c r="AT31" s="76"/>
      <s:c r="AU31" s="26"/>
      <s:c r="AV31" s="27"/>
      <s:c r="AW31" s="79"/>
      <s:c r="AX31" s="26"/>
      <s:c r="AY31" s="80"/>
      <s:c r="AZ31" s="76"/>
      <s:c r="BA31" s="26"/>
      <s:c r="BB31" s="27"/>
      <s:c r="BC31" s="79"/>
      <s:c r="BD31" s="26"/>
      <s:c r="BE31" s="80"/>
      <s:c r="BF31" s="76"/>
      <s:c r="BG31" s="26"/>
      <s:c r="BH31" s="27"/>
      <s:c r="BI31" s="79"/>
      <s:c r="BJ31" s="26"/>
      <s:c r="BK31" s="80"/>
      <s:c r="BL31" s="76"/>
      <s:c r="BM31" s="26"/>
      <s:c r="BN31" s="27"/>
      <s:c r="BO31" s="79"/>
      <s:c r="BP31" s="26"/>
      <s:c r="BQ31" s="80"/>
      <s:c r="BR31" s="76"/>
      <s:c r="BS31" s="26"/>
      <s:c r="BT31" s="27"/>
      <s:c r="BU31" s="79"/>
      <s:c r="BV31" s="26"/>
      <s:c r="BW31" s="80"/>
      <s:c r="BX31" s="76"/>
      <s:c r="BY31" s="26"/>
      <s:c r="BZ31" s="27"/>
      <s:c r="CA31" s="79"/>
      <s:c r="CB31" s="26"/>
      <s:c r="CC31" s="80"/>
      <s:c r="CD31" s="76"/>
      <s:c r="CE31" s="26"/>
      <s:c r="CF31" s="27"/>
      <s:c r="CG31" s="79"/>
      <s:c r="CH31" s="26"/>
      <s:c r="CI31" s="80"/>
      <s:c r="CJ31" s="76"/>
      <s:c r="CK31" s="26"/>
      <s:c r="CL31" s="27"/>
      <s:c r="CM31" s="79"/>
      <s:c r="CN31" s="26"/>
      <s:c r="CO31" s="80"/>
      <s:c r="CP31" s="76"/>
      <s:c r="CQ31" s="26"/>
      <s:c r="CR31" s="27"/>
      <s:c r="CS31" s="62">
        <s:f>SUMIFS(D31:CR31,$D$3:$CR$3,"З")</s:f>
        <s:v>0</s:v>
      </s:c>
      <s:c r="CT31" s="63">
        <s:f>SUMIFS(D31:CR31,$D$3:$CR$3,"О")</s:f>
        <s:v>0</s:v>
      </s:c>
      <s:c r="CU31" s="63">
        <s:f>SUMIFS(D31:CR31,$D$3:$CR$3,"У")</s:f>
        <s:v>0</s:v>
      </s:c>
      <s:c r="CV31" s="28">
        <s:f>IF(C31="Да",CS31*$D$46+CT31*$D$47+CU31*$D$48,CS31*$C$46+CT31*$C$47+CU31*$C$48)</s:f>
        <s:v>0</s:v>
      </s:c>
      <s:c r="CW31" s="29" t="str">
        <s:f>IF(C31="Нет",CV31,"")</s:f>
        <s:v/>
      </s:c>
      <s:c r="CX31" s="30" t="str">
        <s:f>IF(C31="Да",CV31,"")</s:f>
        <s:v/>
      </s:c>
      <s:c r="CY31" s="30" t="str">
        <s:f>IF(D31="Да",CW31,"")</s:f>
        <s:v/>
      </s:c>
    </s:row>
    <s:row r="32" ht="21.75">
      <s:c r="A32" s="23"/>
      <s:c r="B32" s="33"/>
      <s:c r="C32" s="34"/>
      <s:c r="D32" s="53"/>
      <s:c r="E32" s="54"/>
      <s:c r="F32" s="74"/>
      <s:c r="G32" s="79"/>
      <s:c r="H32" s="26"/>
      <s:c r="I32" s="80"/>
      <s:c r="J32" s="76"/>
      <s:c r="K32" s="26"/>
      <s:c r="L32" s="27"/>
      <s:c r="M32" s="79"/>
      <s:c r="N32" s="26"/>
      <s:c r="O32" s="80"/>
      <s:c r="P32" s="76"/>
      <s:c r="Q32" s="26"/>
      <s:c r="R32" s="27"/>
      <s:c r="S32" s="79"/>
      <s:c r="T32" s="26"/>
      <s:c r="U32" s="80"/>
      <s:c r="V32" s="76"/>
      <s:c r="W32" s="26"/>
      <s:c r="X32" s="27"/>
      <s:c r="Y32" s="79"/>
      <s:c r="Z32" s="26"/>
      <s:c r="AA32" s="80"/>
      <s:c r="AB32" s="76"/>
      <s:c r="AC32" s="26"/>
      <s:c r="AD32" s="27"/>
      <s:c r="AE32" s="79"/>
      <s:c r="AF32" s="26"/>
      <s:c r="AG32" s="80"/>
      <s:c r="AH32" s="76"/>
      <s:c r="AI32" s="26"/>
      <s:c r="AJ32" s="27"/>
      <s:c r="AK32" s="79"/>
      <s:c r="AL32" s="26"/>
      <s:c r="AM32" s="80"/>
      <s:c r="AN32" s="76"/>
      <s:c r="AO32" s="26"/>
      <s:c r="AP32" s="27"/>
      <s:c r="AQ32" s="79"/>
      <s:c r="AR32" s="26"/>
      <s:c r="AS32" s="80"/>
      <s:c r="AT32" s="76"/>
      <s:c r="AU32" s="26"/>
      <s:c r="AV32" s="27"/>
      <s:c r="AW32" s="79"/>
      <s:c r="AX32" s="26"/>
      <s:c r="AY32" s="80"/>
      <s:c r="AZ32" s="76"/>
      <s:c r="BA32" s="26"/>
      <s:c r="BB32" s="27"/>
      <s:c r="BC32" s="79"/>
      <s:c r="BD32" s="26"/>
      <s:c r="BE32" s="80"/>
      <s:c r="BF32" s="76"/>
      <s:c r="BG32" s="26"/>
      <s:c r="BH32" s="27"/>
      <s:c r="BI32" s="79"/>
      <s:c r="BJ32" s="26"/>
      <s:c r="BK32" s="80"/>
      <s:c r="BL32" s="76"/>
      <s:c r="BM32" s="26"/>
      <s:c r="BN32" s="27"/>
      <s:c r="BO32" s="79"/>
      <s:c r="BP32" s="26"/>
      <s:c r="BQ32" s="80"/>
      <s:c r="BR32" s="76"/>
      <s:c r="BS32" s="26"/>
      <s:c r="BT32" s="27"/>
      <s:c r="BU32" s="79"/>
      <s:c r="BV32" s="26"/>
      <s:c r="BW32" s="80"/>
      <s:c r="BX32" s="76"/>
      <s:c r="BY32" s="26"/>
      <s:c r="BZ32" s="27"/>
      <s:c r="CA32" s="79"/>
      <s:c r="CB32" s="26"/>
      <s:c r="CC32" s="80"/>
      <s:c r="CD32" s="76"/>
      <s:c r="CE32" s="26"/>
      <s:c r="CF32" s="27"/>
      <s:c r="CG32" s="79"/>
      <s:c r="CH32" s="26"/>
      <s:c r="CI32" s="80"/>
      <s:c r="CJ32" s="76"/>
      <s:c r="CK32" s="26"/>
      <s:c r="CL32" s="27"/>
      <s:c r="CM32" s="79"/>
      <s:c r="CN32" s="26"/>
      <s:c r="CO32" s="80"/>
      <s:c r="CP32" s="76"/>
      <s:c r="CQ32" s="26"/>
      <s:c r="CR32" s="27"/>
      <s:c r="CS32" s="62">
        <s:f>SUMIFS(D32:CR32,$D$3:$CR$3,"З")</s:f>
        <s:v>0</s:v>
      </s:c>
      <s:c r="CT32" s="63">
        <s:f>SUMIFS(D32:CR32,$D$3:$CR$3,"О")</s:f>
        <s:v>0</s:v>
      </s:c>
      <s:c r="CU32" s="63">
        <s:f>SUMIFS(D32:CR32,$D$3:$CR$3,"У")</s:f>
        <s:v>0</s:v>
      </s:c>
      <s:c r="CV32" s="28">
        <s:f>IF(C32="Да",CS32*$D$46+CT32*$D$47+CU32*$D$48,CS32*$C$46+CT32*$C$47+CU32*$C$48)</s:f>
        <s:v>0</s:v>
      </s:c>
      <s:c r="CW32" s="29" t="str">
        <s:f>IF(C32="Нет",CV32,"")</s:f>
        <s:v/>
      </s:c>
      <s:c r="CX32" s="30" t="str">
        <s:f>IF(C32="Да",CV32,"")</s:f>
        <s:v/>
      </s:c>
      <s:c r="CY32" s="30" t="str">
        <s:f>IF(D32="Да",CW32,"")</s:f>
        <s:v/>
      </s:c>
    </s:row>
    <s:row r="33" ht="21.75">
      <s:c r="A33" s="23"/>
      <s:c r="B33" s="35"/>
      <s:c r="C33" s="36"/>
      <s:c r="D33" s="49"/>
      <s:c r="E33" s="50"/>
      <s:c r="F33" s="74"/>
      <s:c r="G33" s="79"/>
      <s:c r="H33" s="26"/>
      <s:c r="I33" s="80"/>
      <s:c r="J33" s="76"/>
      <s:c r="K33" s="26"/>
      <s:c r="L33" s="27"/>
      <s:c r="M33" s="79"/>
      <s:c r="N33" s="26"/>
      <s:c r="O33" s="80"/>
      <s:c r="P33" s="76"/>
      <s:c r="Q33" s="26"/>
      <s:c r="R33" s="27"/>
      <s:c r="S33" s="79"/>
      <s:c r="T33" s="26"/>
      <s:c r="U33" s="80"/>
      <s:c r="V33" s="76"/>
      <s:c r="W33" s="26"/>
      <s:c r="X33" s="27"/>
      <s:c r="Y33" s="79"/>
      <s:c r="Z33" s="26"/>
      <s:c r="AA33" s="80"/>
      <s:c r="AB33" s="76"/>
      <s:c r="AC33" s="26"/>
      <s:c r="AD33" s="27"/>
      <s:c r="AE33" s="79"/>
      <s:c r="AF33" s="26"/>
      <s:c r="AG33" s="80"/>
      <s:c r="AH33" s="76"/>
      <s:c r="AI33" s="26"/>
      <s:c r="AJ33" s="27"/>
      <s:c r="AK33" s="79"/>
      <s:c r="AL33" s="26"/>
      <s:c r="AM33" s="80"/>
      <s:c r="AN33" s="76"/>
      <s:c r="AO33" s="26"/>
      <s:c r="AP33" s="27"/>
      <s:c r="AQ33" s="79"/>
      <s:c r="AR33" s="26"/>
      <s:c r="AS33" s="80"/>
      <s:c r="AT33" s="76"/>
      <s:c r="AU33" s="26"/>
      <s:c r="AV33" s="27"/>
      <s:c r="AW33" s="79"/>
      <s:c r="AX33" s="26"/>
      <s:c r="AY33" s="80"/>
      <s:c r="AZ33" s="76"/>
      <s:c r="BA33" s="26"/>
      <s:c r="BB33" s="27"/>
      <s:c r="BC33" s="79"/>
      <s:c r="BD33" s="26"/>
      <s:c r="BE33" s="80"/>
      <s:c r="BF33" s="76"/>
      <s:c r="BG33" s="26"/>
      <s:c r="BH33" s="27"/>
      <s:c r="BI33" s="79"/>
      <s:c r="BJ33" s="26"/>
      <s:c r="BK33" s="80"/>
      <s:c r="BL33" s="76"/>
      <s:c r="BM33" s="26"/>
      <s:c r="BN33" s="27"/>
      <s:c r="BO33" s="79"/>
      <s:c r="BP33" s="26"/>
      <s:c r="BQ33" s="80"/>
      <s:c r="BR33" s="76"/>
      <s:c r="BS33" s="26"/>
      <s:c r="BT33" s="27"/>
      <s:c r="BU33" s="79"/>
      <s:c r="BV33" s="26"/>
      <s:c r="BW33" s="80"/>
      <s:c r="BX33" s="76"/>
      <s:c r="BY33" s="26"/>
      <s:c r="BZ33" s="27"/>
      <s:c r="CA33" s="79"/>
      <s:c r="CB33" s="26"/>
      <s:c r="CC33" s="80"/>
      <s:c r="CD33" s="76"/>
      <s:c r="CE33" s="26"/>
      <s:c r="CF33" s="27"/>
      <s:c r="CG33" s="79"/>
      <s:c r="CH33" s="26"/>
      <s:c r="CI33" s="80"/>
      <s:c r="CJ33" s="76"/>
      <s:c r="CK33" s="26"/>
      <s:c r="CL33" s="27"/>
      <s:c r="CM33" s="79"/>
      <s:c r="CN33" s="26"/>
      <s:c r="CO33" s="80"/>
      <s:c r="CP33" s="76"/>
      <s:c r="CQ33" s="26"/>
      <s:c r="CR33" s="27"/>
      <s:c r="CS33" s="62">
        <s:f>SUMIFS(D33:CR33,$D$3:$CR$3,"З")</s:f>
        <s:v>0</s:v>
      </s:c>
      <s:c r="CT33" s="63">
        <s:f>SUMIFS(D33:CR33,$D$3:$CR$3,"О")</s:f>
        <s:v>0</s:v>
      </s:c>
      <s:c r="CU33" s="63">
        <s:f>SUMIFS(D33:CR33,$D$3:$CR$3,"У")</s:f>
        <s:v>0</s:v>
      </s:c>
      <s:c r="CV33" s="28">
        <s:f>IF(C33="Да",CS33*$D$46+CT33*$D$47+CU33*$D$48,CS33*$C$46+CT33*$C$47+CU33*$C$48)</s:f>
        <s:v>0</s:v>
      </s:c>
      <s:c r="CW33" s="29" t="str">
        <s:f>IF(C33="Нет",CV33,"")</s:f>
        <s:v/>
      </s:c>
      <s:c r="CX33" s="30" t="str">
        <s:f>IF(C33="Да",CV33,"")</s:f>
        <s:v/>
      </s:c>
      <s:c r="CY33" s="30" t="str">
        <s:f>IF(D33="Да",CW33,"")</s:f>
        <s:v/>
      </s:c>
    </s:row>
    <s:row r="34" ht="21.75">
      <s:c r="A34" s="23"/>
      <s:c r="B34" s="35"/>
      <s:c r="C34" s="36"/>
      <s:c r="D34" s="49"/>
      <s:c r="E34" s="50"/>
      <s:c r="F34" s="74"/>
      <s:c r="G34" s="79"/>
      <s:c r="H34" s="26"/>
      <s:c r="I34" s="80"/>
      <s:c r="J34" s="76"/>
      <s:c r="K34" s="26"/>
      <s:c r="L34" s="27"/>
      <s:c r="M34" s="79"/>
      <s:c r="N34" s="26"/>
      <s:c r="O34" s="80"/>
      <s:c r="P34" s="76"/>
      <s:c r="Q34" s="26"/>
      <s:c r="R34" s="27"/>
      <s:c r="S34" s="79"/>
      <s:c r="T34" s="26"/>
      <s:c r="U34" s="80"/>
      <s:c r="V34" s="76"/>
      <s:c r="W34" s="26"/>
      <s:c r="X34" s="27"/>
      <s:c r="Y34" s="79"/>
      <s:c r="Z34" s="26"/>
      <s:c r="AA34" s="80"/>
      <s:c r="AB34" s="76"/>
      <s:c r="AC34" s="26"/>
      <s:c r="AD34" s="27"/>
      <s:c r="AE34" s="79"/>
      <s:c r="AF34" s="26"/>
      <s:c r="AG34" s="80"/>
      <s:c r="AH34" s="76"/>
      <s:c r="AI34" s="26"/>
      <s:c r="AJ34" s="27"/>
      <s:c r="AK34" s="79"/>
      <s:c r="AL34" s="26"/>
      <s:c r="AM34" s="80"/>
      <s:c r="AN34" s="76"/>
      <s:c r="AO34" s="26"/>
      <s:c r="AP34" s="27"/>
      <s:c r="AQ34" s="79"/>
      <s:c r="AR34" s="26"/>
      <s:c r="AS34" s="80"/>
      <s:c r="AT34" s="76"/>
      <s:c r="AU34" s="26"/>
      <s:c r="AV34" s="27"/>
      <s:c r="AW34" s="79"/>
      <s:c r="AX34" s="26"/>
      <s:c r="AY34" s="80"/>
      <s:c r="AZ34" s="76"/>
      <s:c r="BA34" s="26"/>
      <s:c r="BB34" s="27"/>
      <s:c r="BC34" s="79"/>
      <s:c r="BD34" s="26"/>
      <s:c r="BE34" s="80"/>
      <s:c r="BF34" s="76"/>
      <s:c r="BG34" s="26"/>
      <s:c r="BH34" s="27"/>
      <s:c r="BI34" s="79"/>
      <s:c r="BJ34" s="26"/>
      <s:c r="BK34" s="80"/>
      <s:c r="BL34" s="76"/>
      <s:c r="BM34" s="26"/>
      <s:c r="BN34" s="27"/>
      <s:c r="BO34" s="79"/>
      <s:c r="BP34" s="26"/>
      <s:c r="BQ34" s="80"/>
      <s:c r="BR34" s="76"/>
      <s:c r="BS34" s="26"/>
      <s:c r="BT34" s="27"/>
      <s:c r="BU34" s="79"/>
      <s:c r="BV34" s="26"/>
      <s:c r="BW34" s="80"/>
      <s:c r="BX34" s="76"/>
      <s:c r="BY34" s="26"/>
      <s:c r="BZ34" s="27"/>
      <s:c r="CA34" s="79"/>
      <s:c r="CB34" s="26"/>
      <s:c r="CC34" s="80"/>
      <s:c r="CD34" s="76"/>
      <s:c r="CE34" s="26"/>
      <s:c r="CF34" s="27"/>
      <s:c r="CG34" s="79"/>
      <s:c r="CH34" s="26"/>
      <s:c r="CI34" s="80"/>
      <s:c r="CJ34" s="76"/>
      <s:c r="CK34" s="26"/>
      <s:c r="CL34" s="27"/>
      <s:c r="CM34" s="79"/>
      <s:c r="CN34" s="26"/>
      <s:c r="CO34" s="80"/>
      <s:c r="CP34" s="76"/>
      <s:c r="CQ34" s="26"/>
      <s:c r="CR34" s="27"/>
      <s:c r="CS34" s="62">
        <s:f>SUMIFS(D34:CR34,$D$3:$CR$3,"З")</s:f>
        <s:v>0</s:v>
      </s:c>
      <s:c r="CT34" s="63">
        <s:f>SUMIFS(D34:CR34,$D$3:$CR$3,"О")</s:f>
        <s:v>0</s:v>
      </s:c>
      <s:c r="CU34" s="63">
        <s:f>SUMIFS(D34:CR34,$D$3:$CR$3,"У")</s:f>
        <s:v>0</s:v>
      </s:c>
      <s:c r="CV34" s="28">
        <s:f>IF(C34="Да",CS34*$D$46+CT34*$D$47+CU34*$D$48,CS34*$C$46+CT34*$C$47+CU34*$C$48)</s:f>
        <s:v>0</s:v>
      </s:c>
      <s:c r="CW34" s="29" t="str">
        <s:f>IF(C34="Нет",CV34,"")</s:f>
        <s:v/>
      </s:c>
      <s:c r="CX34" s="30" t="str">
        <s:f>IF(C34="Да",CV34,"")</s:f>
        <s:v/>
      </s:c>
      <s:c r="CY34" s="30" t="str">
        <s:f>IF(D34="Да",CW34,"")</s:f>
        <s:v/>
      </s:c>
    </s:row>
    <s:row r="35" ht="21.75">
      <s:c r="A35" s="37"/>
      <s:c r="B35" s="38"/>
      <s:c r="C35" s="39"/>
      <s:c r="D35" s="55"/>
      <s:c r="E35" s="56"/>
      <s:c r="F35" s="75"/>
      <s:c r="G35" s="81"/>
      <s:c r="H35" s="40"/>
      <s:c r="I35" s="82"/>
      <s:c r="J35" s="77"/>
      <s:c r="K35" s="40"/>
      <s:c r="L35" s="41"/>
      <s:c r="M35" s="81"/>
      <s:c r="N35" s="40"/>
      <s:c r="O35" s="82"/>
      <s:c r="P35" s="77"/>
      <s:c r="Q35" s="40"/>
      <s:c r="R35" s="41"/>
      <s:c r="S35" s="81"/>
      <s:c r="T35" s="40"/>
      <s:c r="U35" s="82"/>
      <s:c r="V35" s="77"/>
      <s:c r="W35" s="40"/>
      <s:c r="X35" s="41"/>
      <s:c r="Y35" s="81"/>
      <s:c r="Z35" s="40"/>
      <s:c r="AA35" s="82"/>
      <s:c r="AB35" s="77"/>
      <s:c r="AC35" s="40"/>
      <s:c r="AD35" s="41"/>
      <s:c r="AE35" s="81"/>
      <s:c r="AF35" s="40"/>
      <s:c r="AG35" s="82"/>
      <s:c r="AH35" s="77"/>
      <s:c r="AI35" s="40"/>
      <s:c r="AJ35" s="41"/>
      <s:c r="AK35" s="81"/>
      <s:c r="AL35" s="40"/>
      <s:c r="AM35" s="82"/>
      <s:c r="AN35" s="77"/>
      <s:c r="AO35" s="40"/>
      <s:c r="AP35" s="41"/>
      <s:c r="AQ35" s="81"/>
      <s:c r="AR35" s="40"/>
      <s:c r="AS35" s="82"/>
      <s:c r="AT35" s="77"/>
      <s:c r="AU35" s="40"/>
      <s:c r="AV35" s="41"/>
      <s:c r="AW35" s="81"/>
      <s:c r="AX35" s="40"/>
      <s:c r="AY35" s="82"/>
      <s:c r="AZ35" s="77"/>
      <s:c r="BA35" s="40"/>
      <s:c r="BB35" s="41"/>
      <s:c r="BC35" s="81"/>
      <s:c r="BD35" s="40"/>
      <s:c r="BE35" s="82"/>
      <s:c r="BF35" s="77"/>
      <s:c r="BG35" s="40"/>
      <s:c r="BH35" s="41"/>
      <s:c r="BI35" s="81"/>
      <s:c r="BJ35" s="40"/>
      <s:c r="BK35" s="82"/>
      <s:c r="BL35" s="77"/>
      <s:c r="BM35" s="40"/>
      <s:c r="BN35" s="41"/>
      <s:c r="BO35" s="81"/>
      <s:c r="BP35" s="40"/>
      <s:c r="BQ35" s="82"/>
      <s:c r="BR35" s="77"/>
      <s:c r="BS35" s="40"/>
      <s:c r="BT35" s="41"/>
      <s:c r="BU35" s="81"/>
      <s:c r="BV35" s="40"/>
      <s:c r="BW35" s="82"/>
      <s:c r="BX35" s="77"/>
      <s:c r="BY35" s="40"/>
      <s:c r="BZ35" s="41"/>
      <s:c r="CA35" s="81"/>
      <s:c r="CB35" s="40"/>
      <s:c r="CC35" s="82"/>
      <s:c r="CD35" s="77"/>
      <s:c r="CE35" s="40"/>
      <s:c r="CF35" s="41"/>
      <s:c r="CG35" s="81"/>
      <s:c r="CH35" s="40"/>
      <s:c r="CI35" s="82"/>
      <s:c r="CJ35" s="77"/>
      <s:c r="CK35" s="40"/>
      <s:c r="CL35" s="41"/>
      <s:c r="CM35" s="81"/>
      <s:c r="CN35" s="40"/>
      <s:c r="CO35" s="82"/>
      <s:c r="CP35" s="77"/>
      <s:c r="CQ35" s="40"/>
      <s:c r="CR35" s="41"/>
      <s:c r="CS35" s="67">
        <s:f>SUMIFS(D35:CR35,$D$3:$CR$3,"З")</s:f>
        <s:v>0</s:v>
      </s:c>
      <s:c r="CT35" s="68">
        <s:f>SUMIFS(D35:CR35,$D$3:$CR$3,"О")</s:f>
        <s:v>0</s:v>
      </s:c>
      <s:c r="CU35" s="68">
        <s:f>SUMIFS(D35:CR35,$D$3:$CR$3,"У")</s:f>
        <s:v>0</s:v>
      </s:c>
      <s:c r="CV35" s="42">
        <s:f>IF(C35="Да",CS35*$D$46+CT35*$D$47+CU35*$D$48,CS35*$C$46+CT35*$C$47+CU35*$C$48)</s:f>
        <s:v>0</s:v>
      </s:c>
      <s:c r="CW35" s="43" t="str">
        <s:f>IF(C35="Нет",CV35,"")</s:f>
        <s:v/>
      </s:c>
      <s:c r="CX35" s="44" t="str">
        <s:f>IF(C35="Да",CV35,"")</s:f>
        <s:v/>
      </s:c>
      <s:c r="CY35" s="44" t="str">
        <s:f>IF(D35="Да",CW35,"")</s:f>
        <s:v/>
      </s:c>
    </s:row>
    <s:row r="36" ht="21.75">
      <s:c r="A36" s="45"/>
      <s:c r="B36" s="46"/>
      <s:c r="C36" s="47"/>
      <s:c r="D36" s="7" t="s">
        <s:v>10</s:v>
      </s:c>
      <s:c r="E36" s="8" t="s">
        <s:v>11</s:v>
      </s:c>
      <s:c r="F36" s="94" t="s">
        <s:v>12</s:v>
      </s:c>
      <s:c r="G36" s="97" t="s">
        <s:v>10</s:v>
      </s:c>
      <s:c r="H36" s="8" t="s">
        <s:v>11</s:v>
      </s:c>
      <s:c r="I36" s="98" t="s">
        <s:v>12</s:v>
      </s:c>
      <s:c r="J36" s="7" t="s">
        <s:v>10</s:v>
      </s:c>
      <s:c r="K36" s="8" t="s">
        <s:v>11</s:v>
      </s:c>
      <s:c r="L36" s="94" t="s">
        <s:v>12</s:v>
      </s:c>
      <s:c r="M36" s="97" t="s">
        <s:v>10</s:v>
      </s:c>
      <s:c r="N36" s="8" t="s">
        <s:v>11</s:v>
      </s:c>
      <s:c r="O36" s="98" t="s">
        <s:v>12</s:v>
      </s:c>
      <s:c r="P36" s="7" t="s">
        <s:v>10</s:v>
      </s:c>
      <s:c r="Q36" s="8" t="s">
        <s:v>11</s:v>
      </s:c>
      <s:c r="R36" s="94" t="s">
        <s:v>12</s:v>
      </s:c>
      <s:c r="S36" s="97" t="s">
        <s:v>10</s:v>
      </s:c>
      <s:c r="T36" s="8" t="s">
        <s:v>11</s:v>
      </s:c>
      <s:c r="U36" s="98" t="s">
        <s:v>12</s:v>
      </s:c>
      <s:c r="V36" s="7" t="s">
        <s:v>10</s:v>
      </s:c>
      <s:c r="W36" s="8" t="s">
        <s:v>11</s:v>
      </s:c>
      <s:c r="X36" s="94" t="s">
        <s:v>12</s:v>
      </s:c>
      <s:c r="Y36" s="97" t="s">
        <s:v>10</s:v>
      </s:c>
      <s:c r="Z36" s="8" t="s">
        <s:v>11</s:v>
      </s:c>
      <s:c r="AA36" s="98" t="s">
        <s:v>12</s:v>
      </s:c>
      <s:c r="AB36" s="7" t="s">
        <s:v>10</s:v>
      </s:c>
      <s:c r="AC36" s="8" t="s">
        <s:v>11</s:v>
      </s:c>
      <s:c r="AD36" s="94" t="s">
        <s:v>12</s:v>
      </s:c>
      <s:c r="AE36" s="97" t="s">
        <s:v>10</s:v>
      </s:c>
      <s:c r="AF36" s="8" t="s">
        <s:v>11</s:v>
      </s:c>
      <s:c r="AG36" s="98" t="s">
        <s:v>12</s:v>
      </s:c>
      <s:c r="AH36" s="7" t="s">
        <s:v>10</s:v>
      </s:c>
      <s:c r="AI36" s="8" t="s">
        <s:v>11</s:v>
      </s:c>
      <s:c r="AJ36" s="94" t="s">
        <s:v>12</s:v>
      </s:c>
      <s:c r="AK36" s="97" t="s">
        <s:v>10</s:v>
      </s:c>
      <s:c r="AL36" s="8" t="s">
        <s:v>11</s:v>
      </s:c>
      <s:c r="AM36" s="98" t="s">
        <s:v>12</s:v>
      </s:c>
      <s:c r="AN36" s="7" t="s">
        <s:v>10</s:v>
      </s:c>
      <s:c r="AO36" s="8" t="s">
        <s:v>11</s:v>
      </s:c>
      <s:c r="AP36" s="94" t="s">
        <s:v>12</s:v>
      </s:c>
      <s:c r="AQ36" s="97" t="s">
        <s:v>10</s:v>
      </s:c>
      <s:c r="AR36" s="8" t="s">
        <s:v>11</s:v>
      </s:c>
      <s:c r="AS36" s="98" t="s">
        <s:v>12</s:v>
      </s:c>
      <s:c r="AT36" s="7" t="s">
        <s:v>10</s:v>
      </s:c>
      <s:c r="AU36" s="8" t="s">
        <s:v>11</s:v>
      </s:c>
      <s:c r="AV36" s="94" t="s">
        <s:v>12</s:v>
      </s:c>
      <s:c r="AW36" s="97" t="s">
        <s:v>10</s:v>
      </s:c>
      <s:c r="AX36" s="8" t="s">
        <s:v>11</s:v>
      </s:c>
      <s:c r="AY36" s="98" t="s">
        <s:v>12</s:v>
      </s:c>
      <s:c r="AZ36" s="7" t="s">
        <s:v>10</s:v>
      </s:c>
      <s:c r="BA36" s="8" t="s">
        <s:v>11</s:v>
      </s:c>
      <s:c r="BB36" s="94" t="s">
        <s:v>12</s:v>
      </s:c>
      <s:c r="BC36" s="97" t="s">
        <s:v>10</s:v>
      </s:c>
      <s:c r="BD36" s="8" t="s">
        <s:v>11</s:v>
      </s:c>
      <s:c r="BE36" s="98" t="s">
        <s:v>12</s:v>
      </s:c>
      <s:c r="BF36" s="7" t="s">
        <s:v>10</s:v>
      </s:c>
      <s:c r="BG36" s="8" t="s">
        <s:v>11</s:v>
      </s:c>
      <s:c r="BH36" s="94" t="s">
        <s:v>12</s:v>
      </s:c>
      <s:c r="BI36" s="97" t="s">
        <s:v>10</s:v>
      </s:c>
      <s:c r="BJ36" s="8" t="s">
        <s:v>11</s:v>
      </s:c>
      <s:c r="BK36" s="98" t="s">
        <s:v>12</s:v>
      </s:c>
      <s:c r="BL36" s="7" t="s">
        <s:v>10</s:v>
      </s:c>
      <s:c r="BM36" s="8" t="s">
        <s:v>11</s:v>
      </s:c>
      <s:c r="BN36" s="94" t="s">
        <s:v>12</s:v>
      </s:c>
      <s:c r="BO36" s="97" t="s">
        <s:v>10</s:v>
      </s:c>
      <s:c r="BP36" s="8" t="s">
        <s:v>11</s:v>
      </s:c>
      <s:c r="BQ36" s="98" t="s">
        <s:v>12</s:v>
      </s:c>
      <s:c r="BR36" s="7" t="s">
        <s:v>10</s:v>
      </s:c>
      <s:c r="BS36" s="8" t="s">
        <s:v>11</s:v>
      </s:c>
      <s:c r="BT36" s="94" t="s">
        <s:v>12</s:v>
      </s:c>
      <s:c r="BU36" s="97" t="s">
        <s:v>10</s:v>
      </s:c>
      <s:c r="BV36" s="8" t="s">
        <s:v>11</s:v>
      </s:c>
      <s:c r="BW36" s="98" t="s">
        <s:v>12</s:v>
      </s:c>
      <s:c r="BX36" s="7" t="s">
        <s:v>10</s:v>
      </s:c>
      <s:c r="BY36" s="8" t="s">
        <s:v>11</s:v>
      </s:c>
      <s:c r="BZ36" s="94" t="s">
        <s:v>12</s:v>
      </s:c>
      <s:c r="CA36" s="97" t="s">
        <s:v>10</s:v>
      </s:c>
      <s:c r="CB36" s="8" t="s">
        <s:v>11</s:v>
      </s:c>
      <s:c r="CC36" s="98" t="s">
        <s:v>12</s:v>
      </s:c>
      <s:c r="CD36" s="7" t="s">
        <s:v>10</s:v>
      </s:c>
      <s:c r="CE36" s="8" t="s">
        <s:v>11</s:v>
      </s:c>
      <s:c r="CF36" s="94" t="s">
        <s:v>12</s:v>
      </s:c>
      <s:c r="CG36" s="97" t="s">
        <s:v>10</s:v>
      </s:c>
      <s:c r="CH36" s="8" t="s">
        <s:v>11</s:v>
      </s:c>
      <s:c r="CI36" s="98" t="s">
        <s:v>12</s:v>
      </s:c>
      <s:c r="CJ36" s="7" t="s">
        <s:v>10</s:v>
      </s:c>
      <s:c r="CK36" s="8" t="s">
        <s:v>11</s:v>
      </s:c>
      <s:c r="CL36" s="94" t="s">
        <s:v>12</s:v>
      </s:c>
      <s:c r="CM36" s="97" t="s">
        <s:v>10</s:v>
      </s:c>
      <s:c r="CN36" s="8" t="s">
        <s:v>11</s:v>
      </s:c>
      <s:c r="CO36" s="98" t="s">
        <s:v>12</s:v>
      </s:c>
      <s:c r="CP36" s="7" t="s">
        <s:v>10</s:v>
      </s:c>
      <s:c r="CQ36" s="8" t="s">
        <s:v>11</s:v>
      </s:c>
      <s:c r="CR36" s="94" t="s">
        <s:v>12</s:v>
      </s:c>
      <s:c r="CS36" s="92" t="s">
        <s:v>10</s:v>
      </s:c>
      <s:c r="CT36" s="10" t="s">
        <s:v>11</s:v>
      </s:c>
      <s:c r="CU36" s="69" t="s">
        <s:v>12</s:v>
      </s:c>
      <s:c r="CV36" s="173" t="s">
        <s:v>30</s:v>
      </s:c>
      <s:c r="CW36" s="174"/>
      <s:c r="CX36" s="174"/>
      <s:c r="CY36" s="175"/>
    </s:row>
    <s:row r="37" ht="21.75">
      <s:c r="A37" s="45"/>
      <s:c r="B37" s="48" t="s">
        <s:v>13</s:v>
      </s:c>
      <s:c r="C37" s="89"/>
      <s:c r="D37" s="86">
        <s:f>SUM(D4:D35)</s:f>
        <s:v>0</s:v>
      </s:c>
      <s:c r="E37" s="84">
        <s:f>SUM(E4:E35)</s:f>
        <s:v>0</s:v>
      </s:c>
      <s:c r="F37" s="87">
        <s:f>SUM(F4:F35)</s:f>
        <s:v>0</s:v>
      </s:c>
      <s:c r="G37" s="88">
        <s:f>SUM(G4:G35)</s:f>
        <s:v>0</s:v>
      </s:c>
      <s:c r="H37" s="84">
        <s:f>SUM(H4:H35)</s:f>
        <s:v>0</s:v>
      </s:c>
      <s:c r="I37" s="85">
        <s:f>SUM(I4:I35)</s:f>
        <s:v>0</s:v>
      </s:c>
      <s:c r="J37" s="86">
        <s:f>SUM(J4:J35)</s:f>
        <s:v>0</s:v>
      </s:c>
      <s:c r="K37" s="84">
        <s:f>SUM(K4:K35)</s:f>
        <s:v>0</s:v>
      </s:c>
      <s:c r="L37" s="87">
        <s:f>SUM(L4:L35)</s:f>
        <s:v>0</s:v>
      </s:c>
      <s:c r="M37" s="88">
        <s:f>SUM(M4:M35)</s:f>
        <s:v>0</s:v>
      </s:c>
      <s:c r="N37" s="84">
        <s:f>SUM(N4:N35)</s:f>
        <s:v>0</s:v>
      </s:c>
      <s:c r="O37" s="85">
        <s:f>SUM(O4:O35)</s:f>
        <s:v>0</s:v>
      </s:c>
      <s:c r="P37" s="86">
        <s:f>SUM(P4:P35)</s:f>
        <s:v>0</s:v>
      </s:c>
      <s:c r="Q37" s="84">
        <s:f>SUM(Q4:Q35)</s:f>
        <s:v>0</s:v>
      </s:c>
      <s:c r="R37" s="87">
        <s:f>SUM(R4:R35)</s:f>
        <s:v>0</s:v>
      </s:c>
      <s:c r="S37" s="88">
        <s:f>SUM(S4:S35)</s:f>
        <s:v>0</s:v>
      </s:c>
      <s:c r="T37" s="84">
        <s:f>SUM(T4:T35)</s:f>
        <s:v>0</s:v>
      </s:c>
      <s:c r="U37" s="85">
        <s:f>SUM(U4:U35)</s:f>
        <s:v>0</s:v>
      </s:c>
      <s:c r="V37" s="86">
        <s:f>SUM(V4:V35)</s:f>
        <s:v>0</s:v>
      </s:c>
      <s:c r="W37" s="84">
        <s:f>SUM(W4:W35)</s:f>
        <s:v>0</s:v>
      </s:c>
      <s:c r="X37" s="87">
        <s:f>SUM(X4:X35)</s:f>
        <s:v>0</s:v>
      </s:c>
      <s:c r="Y37" s="88">
        <s:f>SUM(Y4:Y35)</s:f>
        <s:v>0</s:v>
      </s:c>
      <s:c r="Z37" s="84">
        <s:f>SUM(Z4:Z35)</s:f>
        <s:v>0</s:v>
      </s:c>
      <s:c r="AA37" s="85">
        <s:f>SUM(AA4:AA35)</s:f>
        <s:v>0</s:v>
      </s:c>
      <s:c r="AB37" s="86">
        <s:f>SUM(AB4:AB35)</s:f>
        <s:v>0</s:v>
      </s:c>
      <s:c r="AC37" s="84">
        <s:f>SUM(AC4:AC35)</s:f>
        <s:v>0</s:v>
      </s:c>
      <s:c r="AD37" s="87">
        <s:f>SUM(AD4:AD35)</s:f>
        <s:v>0</s:v>
      </s:c>
      <s:c r="AE37" s="88">
        <s:f>SUM(AE4:AE35)</s:f>
        <s:v>0</s:v>
      </s:c>
      <s:c r="AF37" s="84">
        <s:f>SUM(AF4:AF35)</s:f>
        <s:v>0</s:v>
      </s:c>
      <s:c r="AG37" s="85">
        <s:f>SUM(AG4:AG35)</s:f>
        <s:v>0</s:v>
      </s:c>
      <s:c r="AH37" s="86">
        <s:f>SUM(AH4:AH35)</s:f>
        <s:v>0</s:v>
      </s:c>
      <s:c r="AI37" s="84">
        <s:f>SUM(AI4:AI35)</s:f>
        <s:v>0</s:v>
      </s:c>
      <s:c r="AJ37" s="87">
        <s:f>SUM(AJ4:AJ35)</s:f>
        <s:v>0</s:v>
      </s:c>
      <s:c r="AK37" s="88">
        <s:f>SUM(AK4:AK35)</s:f>
        <s:v>0</s:v>
      </s:c>
      <s:c r="AL37" s="84">
        <s:f>SUM(AL4:AL35)</s:f>
        <s:v>0</s:v>
      </s:c>
      <s:c r="AM37" s="85">
        <s:f>SUM(AM4:AM35)</s:f>
        <s:v>0</s:v>
      </s:c>
      <s:c r="AN37" s="86">
        <s:f>SUM(AN4:AN35)</s:f>
        <s:v>0</s:v>
      </s:c>
      <s:c r="AO37" s="84">
        <s:f>SUM(AO4:AO35)</s:f>
        <s:v>0</s:v>
      </s:c>
      <s:c r="AP37" s="87">
        <s:f>SUM(AP4:AP35)</s:f>
        <s:v>0</s:v>
      </s:c>
      <s:c r="AQ37" s="88">
        <s:f>SUM(AQ4:AQ35)</s:f>
        <s:v>0</s:v>
      </s:c>
      <s:c r="AR37" s="84">
        <s:f>SUM(AR4:AR35)</s:f>
        <s:v>0</s:v>
      </s:c>
      <s:c r="AS37" s="85">
        <s:f>SUM(AS4:AS35)</s:f>
        <s:v>0</s:v>
      </s:c>
      <s:c r="AT37" s="86">
        <s:f>SUM(AT4:AT35)</s:f>
        <s:v>0</s:v>
      </s:c>
      <s:c r="AU37" s="84">
        <s:f>SUM(AU4:AU35)</s:f>
        <s:v>0</s:v>
      </s:c>
      <s:c r="AV37" s="87">
        <s:f>SUM(AV4:AV35)</s:f>
        <s:v>0</s:v>
      </s:c>
      <s:c r="AW37" s="88">
        <s:f>SUM(AW4:AW35)</s:f>
        <s:v>0</s:v>
      </s:c>
      <s:c r="AX37" s="84">
        <s:f>SUM(AX4:AX35)</s:f>
        <s:v>0</s:v>
      </s:c>
      <s:c r="AY37" s="85">
        <s:f>SUM(AY4:AY35)</s:f>
        <s:v>0</s:v>
      </s:c>
      <s:c r="AZ37" s="86">
        <s:f>SUM(AZ4:AZ35)</s:f>
        <s:v>0</s:v>
      </s:c>
      <s:c r="BA37" s="84">
        <s:f>SUM(BA4:BA35)</s:f>
        <s:v>0</s:v>
      </s:c>
      <s:c r="BB37" s="87">
        <s:f>SUM(BB4:BB35)</s:f>
        <s:v>0</s:v>
      </s:c>
      <s:c r="BC37" s="88">
        <s:f>SUM(BC4:BC35)</s:f>
        <s:v>0</s:v>
      </s:c>
      <s:c r="BD37" s="84">
        <s:f>SUM(BD4:BD35)</s:f>
        <s:v>0</s:v>
      </s:c>
      <s:c r="BE37" s="85">
        <s:f>SUM(BE4:BE35)</s:f>
        <s:v>0</s:v>
      </s:c>
      <s:c r="BF37" s="86">
        <s:f>SUM(BF4:BF35)</s:f>
        <s:v>0</s:v>
      </s:c>
      <s:c r="BG37" s="84">
        <s:f>SUM(BG4:BG35)</s:f>
        <s:v>0</s:v>
      </s:c>
      <s:c r="BH37" s="87">
        <s:f>SUM(BH4:BH35)</s:f>
        <s:v>0</s:v>
      </s:c>
      <s:c r="BI37" s="88">
        <s:f>SUM(BI4:BI35)</s:f>
        <s:v>0</s:v>
      </s:c>
      <s:c r="BJ37" s="84">
        <s:f>SUM(BJ4:BJ35)</s:f>
        <s:v>0</s:v>
      </s:c>
      <s:c r="BK37" s="85">
        <s:f>SUM(BK4:BK35)</s:f>
        <s:v>0</s:v>
      </s:c>
      <s:c r="BL37" s="86">
        <s:f>SUM(BL4:BL35)</s:f>
        <s:v>0</s:v>
      </s:c>
      <s:c r="BM37" s="84">
        <s:f>SUM(BM4:BM35)</s:f>
        <s:v>0</s:v>
      </s:c>
      <s:c r="BN37" s="87">
        <s:f>SUM(BN4:BN35)</s:f>
        <s:v>0</s:v>
      </s:c>
      <s:c r="BO37" s="88">
        <s:f>SUM(BO4:BO35)</s:f>
        <s:v>0</s:v>
      </s:c>
      <s:c r="BP37" s="84">
        <s:f>SUM(BP4:BP35)</s:f>
        <s:v>0</s:v>
      </s:c>
      <s:c r="BQ37" s="85">
        <s:f>SUM(BQ4:BQ35)</s:f>
        <s:v>0</s:v>
      </s:c>
      <s:c r="BR37" s="86">
        <s:f>SUM(BR4:BR35)</s:f>
        <s:v>0</s:v>
      </s:c>
      <s:c r="BS37" s="84">
        <s:f>SUM(BS4:BS35)</s:f>
        <s:v>0</s:v>
      </s:c>
      <s:c r="BT37" s="87">
        <s:f>SUM(BT4:BT35)</s:f>
        <s:v>0</s:v>
      </s:c>
      <s:c r="BU37" s="88">
        <s:f>SUM(BU4:BU35)</s:f>
        <s:v>0</s:v>
      </s:c>
      <s:c r="BV37" s="84">
        <s:f>SUM(BV4:BV35)</s:f>
        <s:v>0</s:v>
      </s:c>
      <s:c r="BW37" s="85">
        <s:f>SUM(BW4:BW35)</s:f>
        <s:v>27</s:v>
      </s:c>
      <s:c r="BX37" s="86">
        <s:f>SUM(BX4:BX35)</s:f>
        <s:v>31</s:v>
      </s:c>
      <s:c r="BY37" s="84">
        <s:f>SUM(BY4:BY35)</s:f>
        <s:v>14</s:v>
      </s:c>
      <s:c r="BZ37" s="87">
        <s:f>SUM(BZ4:BZ35)</s:f>
        <s:v>41</s:v>
      </s:c>
      <s:c r="CA37" s="88">
        <s:f>SUM(CA4:CA35)</s:f>
        <s:v>43</s:v>
      </s:c>
      <s:c r="CB37" s="84">
        <s:f>SUM(CB4:CB35)</s:f>
        <s:v>14</s:v>
      </s:c>
      <s:c r="CC37" s="85">
        <s:f>SUM(CC4:CC35)</s:f>
        <s:v>41</s:v>
      </s:c>
      <s:c r="CD37" s="86">
        <s:f>SUM(CD4:CD35)</s:f>
        <s:v>43</s:v>
      </s:c>
      <s:c r="CE37" s="84">
        <s:f>SUM(CE4:CE35)</s:f>
        <s:v>14</s:v>
      </s:c>
      <s:c r="CF37" s="87">
        <s:f>SUM(CF4:CF35)</s:f>
        <s:v>42</s:v>
      </s:c>
      <s:c r="CG37" s="88">
        <s:f>SUM(CG4:CG35)</s:f>
        <s:v>44</s:v>
      </s:c>
      <s:c r="CH37" s="84">
        <s:f>SUM(CH4:CH35)</s:f>
        <s:v>14</s:v>
      </s:c>
      <s:c r="CI37" s="85">
        <s:f>SUM(CI4:CI35)</s:f>
        <s:v>41</s:v>
      </s:c>
      <s:c r="CJ37" s="86">
        <s:f>SUM(CJ4:CJ35)</s:f>
        <s:v>0</s:v>
      </s:c>
      <s:c r="CK37" s="84">
        <s:f>SUM(CK4:CK35)</s:f>
        <s:v>0</s:v>
      </s:c>
      <s:c r="CL37" s="87">
        <s:f>SUM(CL4:CL35)</s:f>
        <s:v>0</s:v>
      </s:c>
      <s:c r="CM37" s="88">
        <s:f>SUM(CM4:CM35)</s:f>
        <s:v>0</s:v>
      </s:c>
      <s:c r="CN37" s="84">
        <s:f>SUM(CN4:CN35)</s:f>
        <s:v>0</s:v>
      </s:c>
      <s:c r="CO37" s="85">
        <s:f>SUM(CO4:CO35)</s:f>
        <s:v>0</s:v>
      </s:c>
      <s:c r="CP37" s="86">
        <s:f>SUM(CP4:CP35)</s:f>
        <s:v>0</s:v>
      </s:c>
      <s:c r="CQ37" s="84">
        <s:f>SUM(CQ4:CQ35)</s:f>
        <s:v>0</s:v>
      </s:c>
      <s:c r="CR37" s="87">
        <s:f>SUM(CR4:CR35)</s:f>
        <s:v>0</s:v>
      </s:c>
      <s:c r="CS37" s="93">
        <s:f>SUM(CS4:CS35)</s:f>
        <s:v>161</s:v>
      </s:c>
      <s:c r="CT37" s="70">
        <s:f>SUM(CT4:CT35)</s:f>
        <s:v>56</s:v>
      </s:c>
      <s:c r="CU37" s="71">
        <s:f>SUM(CU4:CU35)</s:f>
        <s:v>192</s:v>
      </s:c>
      <s:c r="CV37" s="124">
        <s:f>SUM(CW37:CY37)</s:f>
        <s:v>348000</s:v>
      </s:c>
      <s:c r="CW37" s="110">
        <s:f>SUM(CW4:CW35)</s:f>
        <s:v>251150</s:v>
      </s:c>
      <s:c r="CX37" s="110">
        <s:f>SUM(CX4:CX35)</s:f>
        <s:v>0</s:v>
      </s:c>
      <s:c r="CY37" s="110">
        <s:f>SUM(CY4:CY35)</s:f>
        <s:v>96850</s:v>
      </s:c>
    </s:row>
    <s:row r="38" ht="60">
      <s:c r="B38" s="73" t="s">
        <s:v>31</s:v>
      </s:c>
      <s:c r="D38" s="95">
        <s:f>SUMIFS(D4:D35,$C$4:$C$35,"Да")</s:f>
        <s:v>0</s:v>
      </s:c>
      <s:c r="E38" s="1">
        <s:f>SUMIFS(E4:E35,$C$4:$C$35,"Да")</s:f>
        <s:v>0</s:v>
      </s:c>
      <s:c r="F38" s="96">
        <s:f>SUMIFS(F4:F35,$C$4:$C$35,"Да")</s:f>
        <s:v>0</s:v>
      </s:c>
      <s:c r="G38" s="91">
        <s:f>SUMIFS(G4:G35,$C$4:$C$35,"Да")</s:f>
        <s:v>0</s:v>
      </s:c>
      <s:c r="H38" s="1">
        <s:f>SUMIFS(H4:H35,$C$4:$C$35,"Да")</s:f>
        <s:v>0</s:v>
      </s:c>
      <s:c r="I38" s="90">
        <s:f>SUMIFS(I4:I35,$C$4:$C$35,"Да")</s:f>
        <s:v>0</s:v>
      </s:c>
      <s:c r="J38" s="95">
        <s:f>SUMIFS(J4:J35,$C$4:$C$35,"Да")</s:f>
        <s:v>0</s:v>
      </s:c>
      <s:c r="K38" s="1">
        <s:f>SUMIFS(K4:K35,$C$4:$C$35,"Да")</s:f>
        <s:v>0</s:v>
      </s:c>
      <s:c r="L38" s="96">
        <s:f>SUMIFS(L4:L35,$C$4:$C$35,"Да")</s:f>
        <s:v>0</s:v>
      </s:c>
      <s:c r="M38" s="91">
        <s:f>SUMIFS(M4:M35,$C$4:$C$35,"Да")</s:f>
        <s:v>0</s:v>
      </s:c>
      <s:c r="N38" s="1">
        <s:f>SUMIFS(N4:N35,$C$4:$C$35,"Да")</s:f>
        <s:v>0</s:v>
      </s:c>
      <s:c r="O38" s="90">
        <s:f>SUMIFS(O4:O35,$C$4:$C$35,"Да")</s:f>
        <s:v>0</s:v>
      </s:c>
      <s:c r="P38" s="95">
        <s:f>SUMIFS(P4:P35,$C$4:$C$35,"Да")</s:f>
        <s:v>0</s:v>
      </s:c>
      <s:c r="Q38" s="1">
        <s:f>SUMIFS(Q4:Q35,$C$4:$C$35,"Да")</s:f>
        <s:v>0</s:v>
      </s:c>
      <s:c r="R38" s="96">
        <s:f>SUMIFS(R4:R35,$C$4:$C$35,"Да")</s:f>
        <s:v>0</s:v>
      </s:c>
      <s:c r="S38" s="91">
        <s:f>SUMIFS(S4:S35,$C$4:$C$35,"Да")</s:f>
        <s:v>0</s:v>
      </s:c>
      <s:c r="T38" s="1">
        <s:f>SUMIFS(T4:T35,$C$4:$C$35,"Да")</s:f>
        <s:v>0</s:v>
      </s:c>
      <s:c r="U38" s="90">
        <s:f>SUMIFS(U4:U35,$C$4:$C$35,"Да")</s:f>
        <s:v>0</s:v>
      </s:c>
      <s:c r="V38" s="95">
        <s:f>SUMIFS(V4:V35,$C$4:$C$35,"Да")</s:f>
        <s:v>0</s:v>
      </s:c>
      <s:c r="W38" s="1">
        <s:f>SUMIFS(W4:W35,$C$4:$C$35,"Да")</s:f>
        <s:v>0</s:v>
      </s:c>
      <s:c r="X38" s="96">
        <s:f>SUMIFS(X4:X35,$C$4:$C$35,"Да")</s:f>
        <s:v>0</s:v>
      </s:c>
      <s:c r="Y38" s="91">
        <s:f>SUMIFS(Y4:Y35,$C$4:$C$35,"Да")</s:f>
        <s:v>0</s:v>
      </s:c>
      <s:c r="Z38" s="1">
        <s:f>SUMIFS(Z4:Z35,$C$4:$C$35,"Да")</s:f>
        <s:v>0</s:v>
      </s:c>
      <s:c r="AA38" s="90">
        <s:f>SUMIFS(AA4:AA35,$C$4:$C$35,"Да")</s:f>
        <s:v>0</s:v>
      </s:c>
      <s:c r="AB38" s="95">
        <s:f>SUMIFS(AB4:AB35,$C$4:$C$35,"Да")</s:f>
        <s:v>0</s:v>
      </s:c>
      <s:c r="AC38" s="1">
        <s:f>SUMIFS(AC4:AC35,$C$4:$C$35,"Да")</s:f>
        <s:v>0</s:v>
      </s:c>
      <s:c r="AD38" s="96">
        <s:f>SUMIFS(AD4:AD35,$C$4:$C$35,"Да")</s:f>
        <s:v>0</s:v>
      </s:c>
      <s:c r="AE38" s="91">
        <s:f>SUMIFS(AE4:AE35,$C$4:$C$35,"Да")</s:f>
        <s:v>0</s:v>
      </s:c>
      <s:c r="AF38" s="1">
        <s:f>SUMIFS(AF4:AF35,$C$4:$C$35,"Да")</s:f>
        <s:v>0</s:v>
      </s:c>
      <s:c r="AG38" s="90">
        <s:f>SUMIFS(AG4:AG35,$C$4:$C$35,"Да")</s:f>
        <s:v>0</s:v>
      </s:c>
      <s:c r="AH38" s="95">
        <s:f>SUMIFS(AH4:AH35,$C$4:$C$35,"Да")</s:f>
        <s:v>0</s:v>
      </s:c>
      <s:c r="AI38" s="1">
        <s:f>SUMIFS(AI4:AI35,$C$4:$C$35,"Да")</s:f>
        <s:v>0</s:v>
      </s:c>
      <s:c r="AJ38" s="96">
        <s:f>SUMIFS(AJ4:AJ35,$C$4:$C$35,"Да")</s:f>
        <s:v>0</s:v>
      </s:c>
      <s:c r="AK38" s="91">
        <s:f>SUMIFS(AK4:AK35,$C$4:$C$35,"Да")</s:f>
        <s:v>0</s:v>
      </s:c>
      <s:c r="AL38" s="1">
        <s:f>SUMIFS(AL4:AL35,$C$4:$C$35,"Да")</s:f>
        <s:v>0</s:v>
      </s:c>
      <s:c r="AM38" s="90">
        <s:f>SUMIFS(AM4:AM35,$C$4:$C$35,"Да")</s:f>
        <s:v>0</s:v>
      </s:c>
      <s:c r="AN38" s="95">
        <s:f>SUMIFS(AN4:AN35,$C$4:$C$35,"Да")</s:f>
        <s:v>0</s:v>
      </s:c>
      <s:c r="AO38" s="1">
        <s:f>SUMIFS(AO4:AO35,$C$4:$C$35,"Да")</s:f>
        <s:v>0</s:v>
      </s:c>
      <s:c r="AP38" s="96">
        <s:f>SUMIFS(AP4:AP35,$C$4:$C$35,"Да")</s:f>
        <s:v>0</s:v>
      </s:c>
      <s:c r="AQ38" s="91">
        <s:f>SUMIFS(AQ4:AQ35,$C$4:$C$35,"Да")</s:f>
        <s:v>0</s:v>
      </s:c>
      <s:c r="AR38" s="1">
        <s:f>SUMIFS(AR4:AR35,$C$4:$C$35,"Да")</s:f>
        <s:v>0</s:v>
      </s:c>
      <s:c r="AS38" s="90">
        <s:f>SUMIFS(AS4:AS35,$C$4:$C$35,"Да")</s:f>
        <s:v>0</s:v>
      </s:c>
      <s:c r="AT38" s="95">
        <s:f>SUMIFS(AT4:AT35,$C$4:$C$35,"Да")</s:f>
        <s:v>0</s:v>
      </s:c>
      <s:c r="AU38" s="1">
        <s:f>SUMIFS(AU4:AU35,$C$4:$C$35,"Да")</s:f>
        <s:v>0</s:v>
      </s:c>
      <s:c r="AV38" s="96">
        <s:f>SUMIFS(AV4:AV35,$C$4:$C$35,"Да")</s:f>
        <s:v>0</s:v>
      </s:c>
      <s:c r="AW38" s="91">
        <s:f>SUMIFS(AW4:AW35,$C$4:$C$35,"Да")</s:f>
        <s:v>0</s:v>
      </s:c>
      <s:c r="AX38" s="1">
        <s:f>SUMIFS(AX4:AX35,$C$4:$C$35,"Да")</s:f>
        <s:v>0</s:v>
      </s:c>
      <s:c r="AY38" s="90">
        <s:f>SUMIFS(AY4:AY35,$C$4:$C$35,"Да")</s:f>
        <s:v>0</s:v>
      </s:c>
      <s:c r="AZ38" s="95">
        <s:f>SUMIFS(AZ4:AZ35,$C$4:$C$35,"Да")</s:f>
        <s:v>0</s:v>
      </s:c>
      <s:c r="BA38" s="1">
        <s:f>SUMIFS(BA4:BA35,$C$4:$C$35,"Да")</s:f>
        <s:v>0</s:v>
      </s:c>
      <s:c r="BB38" s="96">
        <s:f>SUMIFS(BB4:BB35,$C$4:$C$35,"Да")</s:f>
        <s:v>0</s:v>
      </s:c>
      <s:c r="BC38" s="91">
        <s:f>SUMIFS(BC4:BC35,$C$4:$C$35,"Да")</s:f>
        <s:v>0</s:v>
      </s:c>
      <s:c r="BD38" s="1">
        <s:f>SUMIFS(BD4:BD35,$C$4:$C$35,"Да")</s:f>
        <s:v>0</s:v>
      </s:c>
      <s:c r="BE38" s="90">
        <s:f>SUMIFS(BE4:BE35,$C$4:$C$35,"Да")</s:f>
        <s:v>0</s:v>
      </s:c>
      <s:c r="BF38" s="95">
        <s:f>SUMIFS(BF4:BF35,$C$4:$C$35,"Да")</s:f>
        <s:v>0</s:v>
      </s:c>
      <s:c r="BG38" s="1">
        <s:f>SUMIFS(BG4:BG35,$C$4:$C$35,"Да")</s:f>
        <s:v>0</s:v>
      </s:c>
      <s:c r="BH38" s="96">
        <s:f>SUMIFS(BH4:BH35,$C$4:$C$35,"Да")</s:f>
        <s:v>0</s:v>
      </s:c>
      <s:c r="BI38" s="91">
        <s:f>SUMIFS(BI4:BI35,$C$4:$C$35,"Да")</s:f>
        <s:v>0</s:v>
      </s:c>
      <s:c r="BJ38" s="1">
        <s:f>SUMIFS(BJ4:BJ35,$C$4:$C$35,"Да")</s:f>
        <s:v>0</s:v>
      </s:c>
      <s:c r="BK38" s="90">
        <s:f>SUMIFS(BK4:BK35,$C$4:$C$35,"Да")</s:f>
        <s:v>0</s:v>
      </s:c>
      <s:c r="BL38" s="95">
        <s:f>SUMIFS(BL4:BL35,$C$4:$C$35,"Да")</s:f>
        <s:v>0</s:v>
      </s:c>
      <s:c r="BM38" s="1">
        <s:f>SUMIFS(BM4:BM35,$C$4:$C$35,"Да")</s:f>
        <s:v>0</s:v>
      </s:c>
      <s:c r="BN38" s="96">
        <s:f>SUMIFS(BN4:BN35,$C$4:$C$35,"Да")</s:f>
        <s:v>0</s:v>
      </s:c>
      <s:c r="BO38" s="91">
        <s:f>SUMIFS(BO4:BO35,$C$4:$C$35,"Да")</s:f>
        <s:v>0</s:v>
      </s:c>
      <s:c r="BP38" s="1">
        <s:f>SUMIFS(BP4:BP35,$C$4:$C$35,"Да")</s:f>
        <s:v>0</s:v>
      </s:c>
      <s:c r="BQ38" s="90">
        <s:f>SUMIFS(BQ4:BQ35,$C$4:$C$35,"Да")</s:f>
        <s:v>0</s:v>
      </s:c>
      <s:c r="BR38" s="95">
        <s:f>SUMIFS(BR4:BR35,$C$4:$C$35,"Да")</s:f>
        <s:v>0</s:v>
      </s:c>
      <s:c r="BS38" s="1">
        <s:f>SUMIFS(BS4:BS35,$C$4:$C$35,"Да")</s:f>
        <s:v>0</s:v>
      </s:c>
      <s:c r="BT38" s="96">
        <s:f>SUMIFS(BT4:BT35,$C$4:$C$35,"Да")</s:f>
        <s:v>0</s:v>
      </s:c>
      <s:c r="BU38" s="91">
        <s:f>SUMIFS(BU4:BU35,$C$4:$C$35,"Да")</s:f>
        <s:v>0</s:v>
      </s:c>
      <s:c r="BV38" s="1">
        <s:f>SUMIFS(BV4:BV35,$C$4:$C$35,"Да")</s:f>
        <s:v>0</s:v>
      </s:c>
      <s:c r="BW38" s="90">
        <s:f>SUMIFS(BW4:BW35,$C$4:$C$35,"Да")</s:f>
        <s:v>0</s:v>
      </s:c>
      <s:c r="BX38" s="95">
        <s:f>SUMIFS(BX4:BX35,$C$4:$C$35,"Да")</s:f>
        <s:v>0</s:v>
      </s:c>
      <s:c r="BY38" s="1">
        <s:f>SUMIFS(BY4:BY35,$C$4:$C$35,"Да")</s:f>
        <s:v>0</s:v>
      </s:c>
      <s:c r="BZ38" s="96">
        <s:f>SUMIFS(BZ4:BZ35,$C$4:$C$35,"Да")</s:f>
        <s:v>0</s:v>
      </s:c>
      <s:c r="CA38" s="91">
        <s:f>SUMIFS(CA4:CA35,$C$4:$C$35,"Да")</s:f>
        <s:v>0</s:v>
      </s:c>
      <s:c r="CB38" s="1">
        <s:f>SUMIFS(CB4:CB35,$C$4:$C$35,"Да")</s:f>
        <s:v>0</s:v>
      </s:c>
      <s:c r="CC38" s="90">
        <s:f>SUMIFS(CC4:CC35,$C$4:$C$35,"Да")</s:f>
        <s:v>0</s:v>
      </s:c>
      <s:c r="CD38" s="95">
        <s:f>SUMIFS(CD4:CD35,$C$4:$C$35,"Да")</s:f>
        <s:v>0</s:v>
      </s:c>
      <s:c r="CE38" s="1">
        <s:f>SUMIFS(CE4:CE35,$C$4:$C$35,"Да")</s:f>
        <s:v>0</s:v>
      </s:c>
      <s:c r="CF38" s="96">
        <s:v>1</s:v>
      </s:c>
      <s:c r="CG38" s="91">
        <s:f>SUMIFS(CG4:CG35,$C$4:$C$35,"Да")</s:f>
        <s:v>0</s:v>
      </s:c>
      <s:c r="CH38" s="1">
        <s:f>SUMIFS(CH4:CH35,$C$4:$C$35,"Да")</s:f>
        <s:v>0</s:v>
      </s:c>
      <s:c r="CI38" s="90">
        <s:f>SUMIFS(CI4:CI35,$C$4:$C$35,"Да")</s:f>
        <s:v>0</s:v>
      </s:c>
      <s:c r="CJ38" s="95">
        <s:f>SUMIFS(CJ4:CJ35,$C$4:$C$35,"Да")</s:f>
        <s:v>0</s:v>
      </s:c>
      <s:c r="CK38" s="1">
        <s:f>SUMIFS(CK4:CK35,$C$4:$C$35,"Да")</s:f>
        <s:v>0</s:v>
      </s:c>
      <s:c r="CL38" s="96">
        <s:f>SUMIFS(CL4:CL35,$C$4:$C$35,"Да")</s:f>
        <s:v>0</s:v>
      </s:c>
      <s:c r="CM38" s="91">
        <s:f>SUMIFS(CM4:CM35,$C$4:$C$35,"Да")</s:f>
        <s:v>0</s:v>
      </s:c>
      <s:c r="CN38" s="1">
        <s:f>SUMIFS(CN4:CN35,$C$4:$C$35,"Да")</s:f>
        <s:v>0</s:v>
      </s:c>
      <s:c r="CO38" s="90">
        <s:f>SUMIFS(CO4:CO35,$C$4:$C$35,"Да")</s:f>
        <s:v>0</s:v>
      </s:c>
      <s:c r="CP38" s="95">
        <s:f>SUMIFS(CP4:CP35,$C$4:$C$35,"Да")</s:f>
        <s:v>0</s:v>
      </s:c>
      <s:c r="CQ38" s="1">
        <s:f>SUMIFS(CQ4:CQ35,$C$4:$C$35,"Да")</s:f>
        <s:v>0</s:v>
      </s:c>
      <s:c r="CR38" s="96">
        <s:f>SUMIFS(CR4:CR35,$C$4:$C$35,"Да")</s:f>
        <s:v>0</s:v>
      </s:c>
      <s:c r="CS38" s="83" t="s">
        <s:v>23</s:v>
      </s:c>
      <s:c r="CT38" s="72" t="s">
        <s:v>24</s:v>
      </s:c>
      <s:c r="CU38" s="72" t="s">
        <s:v>25</s:v>
      </s:c>
      <s:c r="CV38" s="109" t="s">
        <s:v>39</s:v>
      </s:c>
      <s:c r="CW38" s="111" t="s">
        <s:v>40</s:v>
      </s:c>
      <s:c r="CX38" s="111" t="s">
        <s:v>26</s:v>
      </s:c>
      <s:c r="CY38" s="111" t="s">
        <s:v>29</s:v>
      </s:c>
      <s:c r="DB38" s="128">
        <s:f>CW42-CW37</s:f>
        <s:v>800</s:v>
      </s:c>
      <s:c r="DC38" s="128">
        <s:f>CY43-CY37</s:f>
        <s:v>0</s:v>
      </s:c>
    </s:row>
    <s:row r="39" ht="24.75">
      <s:c r="B39" s="73" t="s">
        <s:v>32</s:v>
      </s:c>
      <s:c r="D39" s="95">
        <s:f>SUMIFS(D4:D35,$C$4:$C$35,"Нет")</s:f>
        <s:v>0</s:v>
      </s:c>
      <s:c r="E39" s="1">
        <s:f>SUMIFS(E4:E35,$C$4:$C$35,"Нет")</s:f>
        <s:v>0</s:v>
      </s:c>
      <s:c r="F39" s="96">
        <s:f>SUMIFS(F4:F35,$C$4:$C$35,"Нет")</s:f>
        <s:v>0</s:v>
      </s:c>
      <s:c r="G39" s="91">
        <s:f>SUMIFS(G4:G35,$C$4:$C$35,"Нет")</s:f>
        <s:v>0</s:v>
      </s:c>
      <s:c r="H39" s="1">
        <s:f>SUMIFS(H4:H35,$C$4:$C$35,"Нет")</s:f>
        <s:v>0</s:v>
      </s:c>
      <s:c r="I39" s="90">
        <s:f>SUMIFS(I4:I35,$C$4:$C$35,"Нет")</s:f>
        <s:v>0</s:v>
      </s:c>
      <s:c r="J39" s="95">
        <s:f>SUMIFS(J4:J35,$C$4:$C$35,"Нет")</s:f>
        <s:v>0</s:v>
      </s:c>
      <s:c r="K39" s="1">
        <s:f>SUMIFS(K4:K35,$C$4:$C$35,"Нет")</s:f>
        <s:v>0</s:v>
      </s:c>
      <s:c r="L39" s="96">
        <s:f>SUMIFS(L4:L35,$C$4:$C$35,"Нет")</s:f>
        <s:v>0</s:v>
      </s:c>
      <s:c r="M39" s="91">
        <s:f>SUMIFS(M4:M35,$C$4:$C$35,"Нет")</s:f>
        <s:v>0</s:v>
      </s:c>
      <s:c r="N39" s="1">
        <s:f>SUMIFS(N4:N35,$C$4:$C$35,"Нет")</s:f>
        <s:v>0</s:v>
      </s:c>
      <s:c r="O39" s="90">
        <s:f>SUMIFS(O4:O35,$C$4:$C$35,"Нет")</s:f>
        <s:v>0</s:v>
      </s:c>
      <s:c r="P39" s="95">
        <s:f>SUMIFS(P4:P35,$C$4:$C$35,"Нет")</s:f>
        <s:v>0</s:v>
      </s:c>
      <s:c r="Q39" s="1">
        <s:f>SUMIFS(Q4:Q35,$C$4:$C$35,"Нет")</s:f>
        <s:v>0</s:v>
      </s:c>
      <s:c r="R39" s="96">
        <s:f>SUMIFS(R4:R35,$C$4:$C$35,"Нет")</s:f>
        <s:v>0</s:v>
      </s:c>
      <s:c r="S39" s="91">
        <s:f>SUMIFS(S4:S35,$C$4:$C$35,"Нет")</s:f>
        <s:v>0</s:v>
      </s:c>
      <s:c r="T39" s="1">
        <s:f>SUMIFS(T4:T35,$C$4:$C$35,"Нет")</s:f>
        <s:v>0</s:v>
      </s:c>
      <s:c r="U39" s="90">
        <s:f>SUMIFS(U4:U35,$C$4:$C$35,"Нет")</s:f>
        <s:v>0</s:v>
      </s:c>
      <s:c r="V39" s="95">
        <s:f>SUMIFS(V4:V35,$C$4:$C$35,"Нет")</s:f>
        <s:v>0</s:v>
      </s:c>
      <s:c r="W39" s="1">
        <s:f>SUMIFS(W4:W35,$C$4:$C$35,"Нет")</s:f>
        <s:v>0</s:v>
      </s:c>
      <s:c r="X39" s="96">
        <s:f>SUMIFS(X4:X35,$C$4:$C$35,"Нет")</s:f>
        <s:v>0</s:v>
      </s:c>
      <s:c r="Y39" s="91">
        <s:f>SUMIFS(Y4:Y35,$C$4:$C$35,"Нет")</s:f>
        <s:v>0</s:v>
      </s:c>
      <s:c r="Z39" s="1">
        <s:f>SUMIFS(Z4:Z35,$C$4:$C$35,"Нет")</s:f>
        <s:v>0</s:v>
      </s:c>
      <s:c r="AA39" s="90">
        <s:f>SUMIFS(AA4:AA35,$C$4:$C$35,"Нет")</s:f>
        <s:v>0</s:v>
      </s:c>
      <s:c r="AB39" s="95">
        <s:f>SUMIFS(AB4:AB35,$C$4:$C$35,"Нет")</s:f>
        <s:v>0</s:v>
      </s:c>
      <s:c r="AC39" s="1">
        <s:f>SUMIFS(AC4:AC35,$C$4:$C$35,"Нет")</s:f>
        <s:v>0</s:v>
      </s:c>
      <s:c r="AD39" s="96">
        <s:f>SUMIFS(AD4:AD35,$C$4:$C$35,"Нет")</s:f>
        <s:v>0</s:v>
      </s:c>
      <s:c r="AE39" s="91">
        <s:f>SUMIFS(AE4:AE35,$C$4:$C$35,"Нет")</s:f>
        <s:v>0</s:v>
      </s:c>
      <s:c r="AF39" s="1">
        <s:f>SUMIFS(AF4:AF35,$C$4:$C$35,"Нет")</s:f>
        <s:v>0</s:v>
      </s:c>
      <s:c r="AG39" s="90">
        <s:f>SUMIFS(AG4:AG35,$C$4:$C$35,"Нет")</s:f>
        <s:v>0</s:v>
      </s:c>
      <s:c r="AH39" s="95">
        <s:f>SUMIFS(AH4:AH35,$C$4:$C$35,"Нет")</s:f>
        <s:v>0</s:v>
      </s:c>
      <s:c r="AI39" s="1">
        <s:f>SUMIFS(AI4:AI35,$C$4:$C$35,"Нет")</s:f>
        <s:v>0</s:v>
      </s:c>
      <s:c r="AJ39" s="96">
        <s:f>SUMIFS(AJ4:AJ35,$C$4:$C$35,"Нет")</s:f>
        <s:v>0</s:v>
      </s:c>
      <s:c r="AK39" s="91">
        <s:f>SUMIFS(AK4:AK35,$C$4:$C$35,"Нет")</s:f>
        <s:v>0</s:v>
      </s:c>
      <s:c r="AL39" s="1">
        <s:f>SUMIFS(AL4:AL35,$C$4:$C$35,"Нет")</s:f>
        <s:v>0</s:v>
      </s:c>
      <s:c r="AM39" s="90">
        <s:f>SUMIFS(AM4:AM35,$C$4:$C$35,"Нет")</s:f>
        <s:v>0</s:v>
      </s:c>
      <s:c r="AN39" s="95">
        <s:f>SUMIFS(AN4:AN35,$C$4:$C$35,"Нет")</s:f>
        <s:v>0</s:v>
      </s:c>
      <s:c r="AO39" s="1">
        <s:f>SUMIFS(AO4:AO35,$C$4:$C$35,"Нет")</s:f>
        <s:v>0</s:v>
      </s:c>
      <s:c r="AP39" s="96">
        <s:f>SUMIFS(AP4:AP35,$C$4:$C$35,"Нет")</s:f>
        <s:v>0</s:v>
      </s:c>
      <s:c r="AQ39" s="91">
        <s:f>SUMIFS(AQ4:AQ35,$C$4:$C$35,"Нет")</s:f>
        <s:v>0</s:v>
      </s:c>
      <s:c r="AR39" s="1">
        <s:f>SUMIFS(AR4:AR35,$C$4:$C$35,"Нет")</s:f>
        <s:v>0</s:v>
      </s:c>
      <s:c r="AS39" s="90">
        <s:f>SUMIFS(AS4:AS35,$C$4:$C$35,"Нет")</s:f>
        <s:v>0</s:v>
      </s:c>
      <s:c r="AT39" s="95">
        <s:f>SUMIFS(AT4:AT35,$C$4:$C$35,"Нет")</s:f>
        <s:v>0</s:v>
      </s:c>
      <s:c r="AU39" s="1">
        <s:f>SUMIFS(AU4:AU35,$C$4:$C$35,"Нет")</s:f>
        <s:v>0</s:v>
      </s:c>
      <s:c r="AV39" s="96">
        <s:f>SUMIFS(AV4:AV35,$C$4:$C$35,"Нет")</s:f>
        <s:v>0</s:v>
      </s:c>
      <s:c r="AW39" s="91">
        <s:f>SUMIFS(AW4:AW35,$C$4:$C$35,"Нет")</s:f>
        <s:v>0</s:v>
      </s:c>
      <s:c r="AX39" s="1">
        <s:f>SUMIFS(AX4:AX35,$C$4:$C$35,"Нет")</s:f>
        <s:v>0</s:v>
      </s:c>
      <s:c r="AY39" s="90">
        <s:f>SUMIFS(AY4:AY35,$C$4:$C$35,"Нет")</s:f>
        <s:v>0</s:v>
      </s:c>
      <s:c r="AZ39" s="95">
        <s:f>SUMIFS(AZ4:AZ35,$C$4:$C$35,"Нет")</s:f>
        <s:v>0</s:v>
      </s:c>
      <s:c r="BA39" s="1">
        <s:f>SUMIFS(BA4:BA35,$C$4:$C$35,"Нет")</s:f>
        <s:v>0</s:v>
      </s:c>
      <s:c r="BB39" s="96">
        <s:f>SUMIFS(BB4:BB35,$C$4:$C$35,"Нет")</s:f>
        <s:v>0</s:v>
      </s:c>
      <s:c r="BC39" s="91">
        <s:f>SUMIFS(BC4:BC35,$C$4:$C$35,"Нет")</s:f>
        <s:v>0</s:v>
      </s:c>
      <s:c r="BD39" s="1">
        <s:f>SUMIFS(BD4:BD35,$C$4:$C$35,"Нет")</s:f>
        <s:v>0</s:v>
      </s:c>
      <s:c r="BE39" s="90">
        <s:f>SUMIFS(BE4:BE35,$C$4:$C$35,"Нет")</s:f>
        <s:v>0</s:v>
      </s:c>
      <s:c r="BF39" s="95">
        <s:f>SUMIFS(BF4:BF35,$C$4:$C$35,"Нет")</s:f>
        <s:v>0</s:v>
      </s:c>
      <s:c r="BG39" s="1">
        <s:f>SUMIFS(BG4:BG35,$C$4:$C$35,"Нет")</s:f>
        <s:v>0</s:v>
      </s:c>
      <s:c r="BH39" s="96">
        <s:f>SUMIFS(BH4:BH35,$C$4:$C$35,"Нет")</s:f>
        <s:v>0</s:v>
      </s:c>
      <s:c r="BI39" s="91">
        <s:f>SUMIFS(BI4:BI35,$C$4:$C$35,"Нет")</s:f>
        <s:v>0</s:v>
      </s:c>
      <s:c r="BJ39" s="1">
        <s:f>SUMIFS(BJ4:BJ35,$C$4:$C$35,"Нет")</s:f>
        <s:v>0</s:v>
      </s:c>
      <s:c r="BK39" s="90">
        <s:f>SUMIFS(BK4:BK35,$C$4:$C$35,"Нет")</s:f>
        <s:v>0</s:v>
      </s:c>
      <s:c r="BL39" s="95">
        <s:f>SUMIFS(BL4:BL35,$C$4:$C$35,"Нет")</s:f>
        <s:v>0</s:v>
      </s:c>
      <s:c r="BM39" s="1">
        <s:f>SUMIFS(BM4:BM35,$C$4:$C$35,"Нет")</s:f>
        <s:v>0</s:v>
      </s:c>
      <s:c r="BN39" s="96">
        <s:f>SUMIFS(BN4:BN35,$C$4:$C$35,"Нет")</s:f>
        <s:v>0</s:v>
      </s:c>
      <s:c r="BO39" s="91">
        <s:f>SUMIFS(BO4:BO35,$C$4:$C$35,"Нет")</s:f>
        <s:v>0</s:v>
      </s:c>
      <s:c r="BP39" s="1">
        <s:f>SUMIFS(BP4:BP35,$C$4:$C$35,"Нет")</s:f>
        <s:v>0</s:v>
      </s:c>
      <s:c r="BQ39" s="90">
        <s:f>SUMIFS(BQ4:BQ35,$C$4:$C$35,"Нет")</s:f>
        <s:v>0</s:v>
      </s:c>
      <s:c r="BR39" s="95">
        <s:f>SUMIFS(BR4:BR35,$C$4:$C$35,"Нет")</s:f>
        <s:v>0</s:v>
      </s:c>
      <s:c r="BS39" s="1">
        <s:f>SUMIFS(BS4:BS35,$C$4:$C$35,"Нет")</s:f>
        <s:v>0</s:v>
      </s:c>
      <s:c r="BT39" s="96">
        <s:f>SUMIFS(BT4:BT35,$C$4:$C$35,"Нет")</s:f>
        <s:v>0</s:v>
      </s:c>
      <s:c r="BU39" s="91">
        <s:f>SUMIFS(BU4:BU35,$C$4:$C$35,"Нет")</s:f>
        <s:v>0</s:v>
      </s:c>
      <s:c r="BV39" s="1">
        <s:f>SUMIFS(BV4:BV35,$C$4:$C$35,"Нет")</s:f>
        <s:v>0</s:v>
      </s:c>
      <s:c r="BW39" s="90">
        <s:f>SUMIFS(BW4:BW35,$C$4:$C$35,"Нет")</s:f>
        <s:v>14</s:v>
      </s:c>
      <s:c r="BX39" s="95">
        <s:f>SUMIFS(BX4:BX35,$C$4:$C$35,"Нет")</s:f>
        <s:v>18</s:v>
      </s:c>
      <s:c r="BY39" s="1">
        <s:f>SUMIFS(BY4:BY35,$C$4:$C$35,"Нет")</s:f>
        <s:v>14</s:v>
      </s:c>
      <s:c r="BZ39" s="96">
        <s:f>SUMIFS(BZ4:BZ35,$C$4:$C$35,"Нет")</s:f>
        <s:v>28</s:v>
      </s:c>
      <s:c r="CA39" s="91">
        <s:f>SUMIFS(CA4:CA35,$C$4:$C$35,"Нет")</s:f>
        <s:v>30</s:v>
      </s:c>
      <s:c r="CB39" s="1">
        <s:f>SUMIFS(CB4:CB35,$C$4:$C$35,"Нет")</s:f>
        <s:v>14</s:v>
      </s:c>
      <s:c r="CC39" s="90">
        <s:f>SUMIFS(CC4:CC35,$C$4:$C$35,"Нет")</s:f>
        <s:v>28</s:v>
      </s:c>
      <s:c r="CD39" s="95">
        <s:f>SUMIFS(CD4:CD35,$C$4:$C$35,"Нет")</s:f>
        <s:v>30</s:v>
      </s:c>
      <s:c r="CE39" s="1">
        <s:f>SUMIFS(CE4:CE35,$C$4:$C$35,"Нет")</s:f>
        <s:v>14</s:v>
      </s:c>
      <s:c r="CF39" s="96">
        <s:f>SUMIFS(CF4:CF35,$C$4:$C$35,"Нет")</s:f>
        <s:v>29</s:v>
      </s:c>
      <s:c r="CG39" s="91">
        <s:v>32</s:v>
      </s:c>
      <s:c r="CH39" s="1">
        <s:f>SUMIFS(CH4:CH35,$C$4:$C$35,"Нет")</s:f>
        <s:v>14</s:v>
      </s:c>
      <s:c r="CI39" s="90">
        <s:f>SUMIFS(CI4:CI35,$C$4:$C$35,"Нет")</s:f>
        <s:v>28</s:v>
      </s:c>
      <s:c r="CJ39" s="95">
        <s:f>SUMIFS(CJ4:CJ35,$C$4:$C$35,"Нет")</s:f>
        <s:v>0</s:v>
      </s:c>
      <s:c r="CK39" s="1">
        <s:f>SUMIFS(CK4:CK35,$C$4:$C$35,"Нет")</s:f>
        <s:v>0</s:v>
      </s:c>
      <s:c r="CL39" s="96">
        <s:f>SUMIFS(CL4:CL35,$C$4:$C$35,"Нет")</s:f>
        <s:v>0</s:v>
      </s:c>
      <s:c r="CM39" s="91">
        <s:f>SUMIFS(CM4:CM35,$C$4:$C$35,"Нет")</s:f>
        <s:v>0</s:v>
      </s:c>
      <s:c r="CN39" s="1">
        <s:f>SUMIFS(CN4:CN35,$C$4:$C$35,"Нет")</s:f>
        <s:v>0</s:v>
      </s:c>
      <s:c r="CO39" s="90">
        <s:f>SUMIFS(CO4:CO35,$C$4:$C$35,"Нет")</s:f>
        <s:v>0</s:v>
      </s:c>
      <s:c r="CP39" s="95">
        <s:f>SUMIFS(CP4:CP35,$C$4:$C$35,"Нет")</s:f>
        <s:v>0</s:v>
      </s:c>
      <s:c r="CQ39" s="1">
        <s:f>SUMIFS(CQ4:CQ35,$C$4:$C$35,"Нет")</s:f>
        <s:v>0</s:v>
      </s:c>
      <s:c r="CR39" s="96">
        <s:f>SUMIFS(CR4:CR35,$C$4:$C$35,"Нет")</s:f>
        <s:v>0</s:v>
      </s:c>
      <s:c r="CW39" s="114"/>
      <s:c r="CX39" s="114"/>
      <s:c r="CY39" s="112"/>
    </s:row>
    <s:row r="40" ht="24.75">
      <s:c r="B40" s="73" t="s">
        <s:v>33</s:v>
      </s:c>
      <s:c r="D40" s="99">
        <s:f>SUMIFS(D4:D35,$C$4:$C$35,"Налич")</s:f>
        <s:v>0</s:v>
      </s:c>
      <s:c r="E40" s="100">
        <s:f>SUMIFS(E4:E35,$C$4:$C$35,"Налич")</s:f>
        <s:v>0</s:v>
      </s:c>
      <s:c r="F40" s="101">
        <s:f>SUMIFS(F4:F35,$C$4:$C$35,"Налич")</s:f>
        <s:v>0</s:v>
      </s:c>
      <s:c r="G40" s="102">
        <s:f>SUMIFS(G4:G35,$C$4:$C$35,"Налич")</s:f>
        <s:v>0</s:v>
      </s:c>
      <s:c r="H40" s="100">
        <s:f>SUMIFS(H4:H35,$C$4:$C$35,"Налич")</s:f>
        <s:v>0</s:v>
      </s:c>
      <s:c r="I40" s="103">
        <s:f>SUMIFS(I4:I35,$C$4:$C$35,"Налич")</s:f>
        <s:v>0</s:v>
      </s:c>
      <s:c r="J40" s="99">
        <s:f>SUMIFS(J4:J35,$C$4:$C$35,"Налич")</s:f>
        <s:v>0</s:v>
      </s:c>
      <s:c r="K40" s="100">
        <s:f>SUMIFS(K4:K35,$C$4:$C$35,"Налич")</s:f>
        <s:v>0</s:v>
      </s:c>
      <s:c r="L40" s="101">
        <s:f>SUMIFS(L4:L35,$C$4:$C$35,"Налич")</s:f>
        <s:v>0</s:v>
      </s:c>
      <s:c r="M40" s="102">
        <s:f>SUMIFS(M4:M35,$C$4:$C$35,"Налич")</s:f>
        <s:v>0</s:v>
      </s:c>
      <s:c r="N40" s="100">
        <s:f>SUMIFS(N4:N35,$C$4:$C$35,"Налич")</s:f>
        <s:v>0</s:v>
      </s:c>
      <s:c r="O40" s="103">
        <s:f>SUMIFS(O4:O35,$C$4:$C$35,"Налич")</s:f>
        <s:v>0</s:v>
      </s:c>
      <s:c r="P40" s="99">
        <s:f>SUMIFS(P4:P35,$C$4:$C$35,"Налич")</s:f>
        <s:v>0</s:v>
      </s:c>
      <s:c r="Q40" s="100">
        <s:f>SUMIFS(Q4:Q35,$C$4:$C$35,"Налич")</s:f>
        <s:v>0</s:v>
      </s:c>
      <s:c r="R40" s="101">
        <s:f>SUMIFS(R4:R35,$C$4:$C$35,"Налич")</s:f>
        <s:v>0</s:v>
      </s:c>
      <s:c r="S40" s="102">
        <s:f>SUMIFS(S4:S35,$C$4:$C$35,"Налич")</s:f>
        <s:v>0</s:v>
      </s:c>
      <s:c r="T40" s="100">
        <s:f>SUMIFS(T4:T35,$C$4:$C$35,"Налич")</s:f>
        <s:v>0</s:v>
      </s:c>
      <s:c r="U40" s="103">
        <s:f>SUMIFS(U4:U35,$C$4:$C$35,"Налич")</s:f>
        <s:v>0</s:v>
      </s:c>
      <s:c r="V40" s="99">
        <s:f>SUMIFS(V4:V35,$C$4:$C$35,"Налич")</s:f>
        <s:v>0</s:v>
      </s:c>
      <s:c r="W40" s="100">
        <s:f>SUMIFS(W4:W35,$C$4:$C$35,"Налич")</s:f>
        <s:v>0</s:v>
      </s:c>
      <s:c r="X40" s="101">
        <s:f>SUMIFS(X4:X35,$C$4:$C$35,"Налич")</s:f>
        <s:v>0</s:v>
      </s:c>
      <s:c r="Y40" s="102">
        <s:f>SUMIFS(Y4:Y35,$C$4:$C$35,"Налич")</s:f>
        <s:v>0</s:v>
      </s:c>
      <s:c r="Z40" s="100">
        <s:f>SUMIFS(Z4:Z35,$C$4:$C$35,"Налич")</s:f>
        <s:v>0</s:v>
      </s:c>
      <s:c r="AA40" s="103">
        <s:f>SUMIFS(AA4:AA35,$C$4:$C$35,"Налич")</s:f>
        <s:v>0</s:v>
      </s:c>
      <s:c r="AB40" s="99">
        <s:f>SUMIFS(AB4:AB35,$C$4:$C$35,"Налич")</s:f>
        <s:v>0</s:v>
      </s:c>
      <s:c r="AC40" s="100">
        <s:f>SUMIFS(AC4:AC35,$C$4:$C$35,"Налич")</s:f>
        <s:v>0</s:v>
      </s:c>
      <s:c r="AD40" s="101">
        <s:f>SUMIFS(AD4:AD35,$C$4:$C$35,"Налич")</s:f>
        <s:v>0</s:v>
      </s:c>
      <s:c r="AE40" s="102">
        <s:f>SUMIFS(AE4:AE35,$C$4:$C$35,"Налич")</s:f>
        <s:v>0</s:v>
      </s:c>
      <s:c r="AF40" s="100">
        <s:f>SUMIFS(AF4:AF35,$C$4:$C$35,"Налич")</s:f>
        <s:v>0</s:v>
      </s:c>
      <s:c r="AG40" s="103">
        <s:f>SUMIFS(AG4:AG35,$C$4:$C$35,"Налич")</s:f>
        <s:v>0</s:v>
      </s:c>
      <s:c r="AH40" s="99">
        <s:f>SUMIFS(AH4:AH35,$C$4:$C$35,"Налич")</s:f>
        <s:v>0</s:v>
      </s:c>
      <s:c r="AI40" s="100">
        <s:f>SUMIFS(AI4:AI35,$C$4:$C$35,"Налич")</s:f>
        <s:v>0</s:v>
      </s:c>
      <s:c r="AJ40" s="101">
        <s:f>SUMIFS(AJ4:AJ35,$C$4:$C$35,"Налич")</s:f>
        <s:v>0</s:v>
      </s:c>
      <s:c r="AK40" s="102">
        <s:f>SUMIFS(AK4:AK35,$C$4:$C$35,"Налич")</s:f>
        <s:v>0</s:v>
      </s:c>
      <s:c r="AL40" s="100">
        <s:f>SUMIFS(AL4:AL35,$C$4:$C$35,"Налич")</s:f>
        <s:v>0</s:v>
      </s:c>
      <s:c r="AM40" s="103">
        <s:f>SUMIFS(AM4:AM35,$C$4:$C$35,"Налич")</s:f>
        <s:v>0</s:v>
      </s:c>
      <s:c r="AN40" s="99">
        <s:f>SUMIFS(AN4:AN35,$C$4:$C$35,"Налич")</s:f>
        <s:v>0</s:v>
      </s:c>
      <s:c r="AO40" s="100">
        <s:f>SUMIFS(AO4:AO35,$C$4:$C$35,"Налич")</s:f>
        <s:v>0</s:v>
      </s:c>
      <s:c r="AP40" s="101">
        <s:f>SUMIFS(AP4:AP35,$C$4:$C$35,"Налич")</s:f>
        <s:v>0</s:v>
      </s:c>
      <s:c r="AQ40" s="102">
        <s:f>SUMIFS(AQ4:AQ35,$C$4:$C$35,"Налич")</s:f>
        <s:v>0</s:v>
      </s:c>
      <s:c r="AR40" s="100">
        <s:f>SUMIFS(AR4:AR35,$C$4:$C$35,"Налич")</s:f>
        <s:v>0</s:v>
      </s:c>
      <s:c r="AS40" s="103">
        <s:f>SUMIFS(AS4:AS35,$C$4:$C$35,"Налич")</s:f>
        <s:v>0</s:v>
      </s:c>
      <s:c r="AT40" s="99">
        <s:f>SUMIFS(AT4:AT35,$C$4:$C$35,"Налич")</s:f>
        <s:v>0</s:v>
      </s:c>
      <s:c r="AU40" s="100">
        <s:f>SUMIFS(AU4:AU35,$C$4:$C$35,"Налич")</s:f>
        <s:v>0</s:v>
      </s:c>
      <s:c r="AV40" s="101">
        <s:f>SUMIFS(AV4:AV35,$C$4:$C$35,"Налич")</s:f>
        <s:v>0</s:v>
      </s:c>
      <s:c r="AW40" s="102">
        <s:f>SUMIFS(AW4:AW35,$C$4:$C$35,"Налич")</s:f>
        <s:v>0</s:v>
      </s:c>
      <s:c r="AX40" s="100">
        <s:f>SUMIFS(AX4:AX35,$C$4:$C$35,"Налич")</s:f>
        <s:v>0</s:v>
      </s:c>
      <s:c r="AY40" s="103">
        <s:f>SUMIFS(AY4:AY35,$C$4:$C$35,"Налич")</s:f>
        <s:v>0</s:v>
      </s:c>
      <s:c r="AZ40" s="99">
        <s:f>SUMIFS(AZ4:AZ35,$C$4:$C$35,"Налич")</s:f>
        <s:v>0</s:v>
      </s:c>
      <s:c r="BA40" s="100">
        <s:f>SUMIFS(BA4:BA35,$C$4:$C$35,"Налич")</s:f>
        <s:v>0</s:v>
      </s:c>
      <s:c r="BB40" s="101">
        <s:f>SUMIFS(BB4:BB35,$C$4:$C$35,"Налич")</s:f>
        <s:v>0</s:v>
      </s:c>
      <s:c r="BC40" s="102">
        <s:f>SUMIFS(BC4:BC35,$C$4:$C$35,"Налич")</s:f>
        <s:v>0</s:v>
      </s:c>
      <s:c r="BD40" s="100">
        <s:f>SUMIFS(BD4:BD35,$C$4:$C$35,"Налич")</s:f>
        <s:v>0</s:v>
      </s:c>
      <s:c r="BE40" s="103">
        <s:f>SUMIFS(BE4:BE35,$C$4:$C$35,"Налич")</s:f>
        <s:v>0</s:v>
      </s:c>
      <s:c r="BF40" s="99">
        <s:f>SUMIFS(BF4:BF35,$C$4:$C$35,"Налич")</s:f>
        <s:v>0</s:v>
      </s:c>
      <s:c r="BG40" s="100">
        <s:f>SUMIFS(BG4:BG35,$C$4:$C$35,"Налич")</s:f>
        <s:v>0</s:v>
      </s:c>
      <s:c r="BH40" s="101">
        <s:f>SUMIFS(BH4:BH35,$C$4:$C$35,"Налич")</s:f>
        <s:v>0</s:v>
      </s:c>
      <s:c r="BI40" s="102">
        <s:f>SUMIFS(BI4:BI35,$C$4:$C$35,"Налич")</s:f>
        <s:v>0</s:v>
      </s:c>
      <s:c r="BJ40" s="100">
        <s:f>SUMIFS(BJ4:BJ35,$C$4:$C$35,"Налич")</s:f>
        <s:v>0</s:v>
      </s:c>
      <s:c r="BK40" s="103">
        <s:f>SUMIFS(BK4:BK35,$C$4:$C$35,"Налич")</s:f>
        <s:v>0</s:v>
      </s:c>
      <s:c r="BL40" s="99">
        <s:f>SUMIFS(BL4:BL35,$C$4:$C$35,"Налич")</s:f>
        <s:v>0</s:v>
      </s:c>
      <s:c r="BM40" s="100">
        <s:f>SUMIFS(BM4:BM35,$C$4:$C$35,"Налич")</s:f>
        <s:v>0</s:v>
      </s:c>
      <s:c r="BN40" s="101">
        <s:f>SUMIFS(BN4:BN35,$C$4:$C$35,"Налич")</s:f>
        <s:v>0</s:v>
      </s:c>
      <s:c r="BO40" s="102">
        <s:f>SUMIFS(BO4:BO35,$C$4:$C$35,"Налич")</s:f>
        <s:v>0</s:v>
      </s:c>
      <s:c r="BP40" s="100">
        <s:f>SUMIFS(BP4:BP35,$C$4:$C$35,"Налич")</s:f>
        <s:v>0</s:v>
      </s:c>
      <s:c r="BQ40" s="103">
        <s:f>SUMIFS(BQ4:BQ35,$C$4:$C$35,"Налич")</s:f>
        <s:v>0</s:v>
      </s:c>
      <s:c r="BR40" s="99">
        <s:f>SUMIFS(BR4:BR35,$C$4:$C$35,"Налич")</s:f>
        <s:v>0</s:v>
      </s:c>
      <s:c r="BS40" s="100">
        <s:f>SUMIFS(BS4:BS35,$C$4:$C$35,"Налич")</s:f>
        <s:v>0</s:v>
      </s:c>
      <s:c r="BT40" s="101">
        <s:f>SUMIFS(BT4:BT35,$C$4:$C$35,"Налич")</s:f>
        <s:v>0</s:v>
      </s:c>
      <s:c r="BU40" s="102">
        <s:f>SUMIFS(BU4:BU35,$C$4:$C$35,"Налич")</s:f>
        <s:v>0</s:v>
      </s:c>
      <s:c r="BV40" s="100">
        <s:f>SUMIFS(BV4:BV35,$C$4:$C$35,"Налич")</s:f>
        <s:v>0</s:v>
      </s:c>
      <s:c r="BW40" s="103">
        <s:f>SUMIFS(BW4:BW35,$C$4:$C$35,"Налич")</s:f>
        <s:v>13</s:v>
      </s:c>
      <s:c r="BX40" s="99">
        <s:f>SUMIFS(BX4:BX35,$C$4:$C$35,"Налич")</s:f>
        <s:v>13</s:v>
      </s:c>
      <s:c r="BY40" s="100">
        <s:f>SUMIFS(BY4:BY35,$C$4:$C$35,"Налич")</s:f>
        <s:v>0</s:v>
      </s:c>
      <s:c r="BZ40" s="101">
        <s:f>SUMIFS(BZ4:BZ35,$C$4:$C$35,"Налич")</s:f>
        <s:v>13</s:v>
      </s:c>
      <s:c r="CA40" s="102">
        <s:f>SUMIFS(CA4:CA35,$C$4:$C$35,"Налич")</s:f>
        <s:v>13</s:v>
      </s:c>
      <s:c r="CB40" s="100">
        <s:f>SUMIFS(CB4:CB35,$C$4:$C$35,"Налич")</s:f>
        <s:v>0</s:v>
      </s:c>
      <s:c r="CC40" s="103">
        <s:f>SUMIFS(CC4:CC35,$C$4:$C$35,"Налич")</s:f>
        <s:v>13</s:v>
      </s:c>
      <s:c r="CD40" s="99">
        <s:f>SUMIFS(CD4:CD35,$C$4:$C$35,"Налич")</s:f>
        <s:v>13</s:v>
      </s:c>
      <s:c r="CE40" s="100">
        <s:f>SUMIFS(CE4:CE35,$C$4:$C$35,"Налич")</s:f>
        <s:v>0</s:v>
      </s:c>
      <s:c r="CF40" s="101">
        <s:f>SUMIFS(CF4:CF35,$C$4:$C$35,"Налич")</s:f>
        <s:v>13</s:v>
      </s:c>
      <s:c r="CG40" s="102">
        <s:f>SUMIFS(CG4:CG35,$C$4:$C$35,"Налич")</s:f>
        <s:v>13</s:v>
      </s:c>
      <s:c r="CH40" s="100">
        <s:f>SUMIFS(CH4:CH35,$C$4:$C$35,"Налич")</s:f>
        <s:v>0</s:v>
      </s:c>
      <s:c r="CI40" s="103">
        <s:f>SUMIFS(CI4:CI35,$C$4:$C$35,"Налич")</s:f>
        <s:v>13</s:v>
      </s:c>
      <s:c r="CJ40" s="99">
        <s:f>SUMIFS(CJ4:CJ35,$C$4:$C$35,"Налич")</s:f>
        <s:v>0</s:v>
      </s:c>
      <s:c r="CK40" s="100">
        <s:f>SUMIFS(CK4:CK35,$C$4:$C$35,"Налич")</s:f>
        <s:v>0</s:v>
      </s:c>
      <s:c r="CL40" s="101">
        <s:f>SUMIFS(CL4:CL35,$C$4:$C$35,"Налич")</s:f>
        <s:v>0</s:v>
      </s:c>
      <s:c r="CM40" s="102">
        <s:f>SUMIFS(CM4:CM35,$C$4:$C$35,"Налич")</s:f>
        <s:v>0</s:v>
      </s:c>
      <s:c r="CN40" s="100">
        <s:f>SUMIFS(CN4:CN35,$C$4:$C$35,"Налич")</s:f>
        <s:v>0</s:v>
      </s:c>
      <s:c r="CO40" s="103">
        <s:f>SUMIFS(CO4:CO35,$C$4:$C$35,"Налич")</s:f>
        <s:v>0</s:v>
      </s:c>
      <s:c r="CP40" s="99">
        <s:f>SUMIFS(CP4:CP35,$C$4:$C$35,"Налич")</s:f>
        <s:v>0</s:v>
      </s:c>
      <s:c r="CQ40" s="100">
        <s:f>SUMIFS(CQ4:CQ35,$C$4:$C$35,"Налич")</s:f>
        <s:v>0</s:v>
      </s:c>
      <s:c r="CR40" s="101">
        <s:f>SUMIFS(CR4:CR35,$C$4:$C$35,"Налич")</s:f>
        <s:v>0</s:v>
      </s:c>
      <s:c r="CW40" s="114"/>
      <s:c r="CX40" s="114"/>
      <s:c r="CY40" s="112"/>
    </s:row>
    <s:row r="41" ht="24.75">
      <s:c r="B41" s="73" t="s">
        <s:v>34</s:v>
      </s:c>
      <s:c r="D41" s="151">
        <s:f>D38*$D$46+E38*$D$47+F38*$D$48</s:f>
        <s:v>0</s:v>
      </s:c>
      <s:c r="E41" s="152"/>
      <s:c r="F41" s="153"/>
      <s:c r="G41" s="154">
        <s:f>G38*$D$46+H38*$D$47+I38*$D$48</s:f>
        <s:v>0</s:v>
      </s:c>
      <s:c r="H41" s="152"/>
      <s:c r="I41" s="155"/>
      <s:c r="J41" s="151">
        <s:f>J38*$D$46+K38*$D$47+L38*$D$48</s:f>
        <s:v>0</s:v>
      </s:c>
      <s:c r="K41" s="152"/>
      <s:c r="L41" s="153"/>
      <s:c r="M41" s="154">
        <s:f>M38*$D$46+N38*$D$47+O38*$D$48</s:f>
        <s:v>0</s:v>
      </s:c>
      <s:c r="N41" s="152"/>
      <s:c r="O41" s="155"/>
      <s:c r="P41" s="151">
        <s:f>P38*$D$46+Q38*$D$47+R38*$D$48</s:f>
        <s:v>0</s:v>
      </s:c>
      <s:c r="Q41" s="152"/>
      <s:c r="R41" s="153"/>
      <s:c r="S41" s="154">
        <s:f>S38*$D$46+T38*$D$47+U38*$D$48</s:f>
        <s:v>0</s:v>
      </s:c>
      <s:c r="T41" s="152"/>
      <s:c r="U41" s="155"/>
      <s:c r="V41" s="151">
        <s:f>V38*$D$46+W38*$D$47+X38*$D$48</s:f>
        <s:v>0</s:v>
      </s:c>
      <s:c r="W41" s="152"/>
      <s:c r="X41" s="153"/>
      <s:c r="Y41" s="154">
        <s:f>Y38*$D$46+Z38*$D$47+AA38*$D$48</s:f>
        <s:v>0</s:v>
      </s:c>
      <s:c r="Z41" s="152"/>
      <s:c r="AA41" s="155"/>
      <s:c r="AB41" s="151">
        <s:f>AB38*$D$46+AC38*$D$47+AD38*$D$48</s:f>
        <s:v>0</s:v>
      </s:c>
      <s:c r="AC41" s="152"/>
      <s:c r="AD41" s="153"/>
      <s:c r="AE41" s="154">
        <s:f>AE38*$D$46+AF38*$D$47+AG38*$D$48</s:f>
        <s:v>0</s:v>
      </s:c>
      <s:c r="AF41" s="152"/>
      <s:c r="AG41" s="155"/>
      <s:c r="AH41" s="151">
        <s:f>AH38*$D$46+AI38*$D$47+AJ38*$D$48</s:f>
        <s:v>0</s:v>
      </s:c>
      <s:c r="AI41" s="152"/>
      <s:c r="AJ41" s="153"/>
      <s:c r="AK41" s="154">
        <s:f>AK38*$D$46+AL38*$D$47+AM38*$D$48</s:f>
        <s:v>0</s:v>
      </s:c>
      <s:c r="AL41" s="152"/>
      <s:c r="AM41" s="155"/>
      <s:c r="AN41" s="151">
        <s:f>AN38*$D$46+AO38*$D$47+AP38*$D$48</s:f>
        <s:v>0</s:v>
      </s:c>
      <s:c r="AO41" s="152"/>
      <s:c r="AP41" s="153"/>
      <s:c r="AQ41" s="154">
        <s:f>AQ38*$D$46+AR38*$D$47+AS38*$D$48</s:f>
        <s:v>0</s:v>
      </s:c>
      <s:c r="AR41" s="152"/>
      <s:c r="AS41" s="155"/>
      <s:c r="AT41" s="151">
        <s:f>AT38*$D$46+AU38*$D$47+AV38*$D$48</s:f>
        <s:v>0</s:v>
      </s:c>
      <s:c r="AU41" s="152"/>
      <s:c r="AV41" s="153"/>
      <s:c r="AW41" s="154">
        <s:f>AW38*$D$46+AX38*$D$47+AY38*$D$48</s:f>
        <s:v>0</s:v>
      </s:c>
      <s:c r="AX41" s="152"/>
      <s:c r="AY41" s="155"/>
      <s:c r="AZ41" s="151">
        <s:f>AZ38*$D$46+BA38*$D$47+BB38*$D$48</s:f>
        <s:v>0</s:v>
      </s:c>
      <s:c r="BA41" s="152"/>
      <s:c r="BB41" s="153"/>
      <s:c r="BC41" s="154">
        <s:f>BC38*$D$46+BD38*$D$47+BE38*$D$48</s:f>
        <s:v>0</s:v>
      </s:c>
      <s:c r="BD41" s="152"/>
      <s:c r="BE41" s="155"/>
      <s:c r="BF41" s="151">
        <s:f>BF38*$D$46+BG38*$D$47+BH38*$D$48</s:f>
        <s:v>0</s:v>
      </s:c>
      <s:c r="BG41" s="152"/>
      <s:c r="BH41" s="153"/>
      <s:c r="BI41" s="154">
        <s:f>BI38*$D$46+BJ38*$D$47+BK38*$D$48</s:f>
        <s:v>0</s:v>
      </s:c>
      <s:c r="BJ41" s="152"/>
      <s:c r="BK41" s="155"/>
      <s:c r="BL41" s="151">
        <s:f>BL38*$D$46+BM38*$D$47+BN38*$D$48</s:f>
        <s:v>0</s:v>
      </s:c>
      <s:c r="BM41" s="152"/>
      <s:c r="BN41" s="153"/>
      <s:c r="BO41" s="154">
        <s:f>BO38*$D$46+BP38*$D$47+BQ38*$D$48</s:f>
        <s:v>0</s:v>
      </s:c>
      <s:c r="BP41" s="152"/>
      <s:c r="BQ41" s="155"/>
      <s:c r="BR41" s="151">
        <s:f>BR38*$D$46+BS38*$D$47+BT38*$D$48</s:f>
        <s:v>0</s:v>
      </s:c>
      <s:c r="BS41" s="152"/>
      <s:c r="BT41" s="153"/>
      <s:c r="BU41" s="154">
        <s:f>BU38*$D$46+BV38*$D$47+BW38*$D$48</s:f>
        <s:v>0</s:v>
      </s:c>
      <s:c r="BV41" s="152"/>
      <s:c r="BW41" s="155"/>
      <s:c r="BX41" s="151">
        <s:f>BX38*$D$46+BY38*$D$47+BZ38*$D$48</s:f>
        <s:v>0</s:v>
      </s:c>
      <s:c r="BY41" s="152"/>
      <s:c r="BZ41" s="153"/>
      <s:c r="CA41" s="154">
        <s:f>CA38*$D$46+CB38*$D$47+CC38*$D$48</s:f>
        <s:v>0</s:v>
      </s:c>
      <s:c r="CB41" s="152"/>
      <s:c r="CC41" s="155"/>
      <s:c r="CD41" s="151">
        <s:f>CD38*$D$46+CE38*$D$47+CF38*$D$48</s:f>
        <s:v>1037</s:v>
      </s:c>
      <s:c r="CE41" s="152"/>
      <s:c r="CF41" s="153"/>
      <s:c r="CG41" s="154">
        <s:f>CG38*$D$46+CH38*$D$47+CI38*$D$48</s:f>
        <s:v>0</s:v>
      </s:c>
      <s:c r="CH41" s="152"/>
      <s:c r="CI41" s="155"/>
      <s:c r="CJ41" s="151">
        <s:f>CJ38*$D$46+CK38*$D$47+CL38*$D$48</s:f>
        <s:v>0</s:v>
      </s:c>
      <s:c r="CK41" s="152"/>
      <s:c r="CL41" s="153"/>
      <s:c r="CM41" s="154">
        <s:f>CM38*$D$46+CN38*$D$47+CO38*$D$48</s:f>
        <s:v>0</s:v>
      </s:c>
      <s:c r="CN41" s="152"/>
      <s:c r="CO41" s="155"/>
      <s:c r="CP41" s="151">
        <s:f>CP38*$D$46+CQ38*$D$47+CR38*$D$48</s:f>
        <s:v>0</s:v>
      </s:c>
      <s:c r="CQ41" s="152"/>
      <s:c r="CR41" s="153"/>
      <s:c r="CS41" s="104"/>
      <s:c r="CT41" s="105"/>
      <s:c r="CU41" s="105"/>
      <s:c r="CV41" s="105"/>
      <s:c r="CW41" s="115" t="s">
        <s:v>38</s:v>
      </s:c>
      <s:c r="CX41" s="113">
        <s:f>SUM(D41:CR41)</s:f>
        <s:v>1037</s:v>
      </s:c>
      <s:c r="CY41" s="112"/>
    </s:row>
    <s:row r="42" ht="24.75">
      <s:c r="B42" s="73" t="s">
        <s:v>35</s:v>
      </s:c>
      <s:c r="D42" s="149">
        <s:f>D39*$C$46+E39*$C$47+F39*$C$48</s:f>
        <s:v>0</s:v>
      </s:c>
      <s:c r="E42" s="147"/>
      <s:c r="F42" s="150"/>
      <s:c r="G42" s="146">
        <s:f>G39*$C$46+H39*$C$47+I39*$C$48</s:f>
        <s:v>0</s:v>
      </s:c>
      <s:c r="H42" s="147"/>
      <s:c r="I42" s="148"/>
      <s:c r="J42" s="149">
        <s:f>J39*$C$46+K39*$C$47+L39*$C$48</s:f>
        <s:v>0</s:v>
      </s:c>
      <s:c r="K42" s="147"/>
      <s:c r="L42" s="150"/>
      <s:c r="M42" s="149">
        <s:f>M39*$C$46+N39*$C$47+O39*$C$48</s:f>
        <s:v>0</s:v>
      </s:c>
      <s:c r="N42" s="147"/>
      <s:c r="O42" s="150"/>
      <s:c r="P42" s="149">
        <s:f>P39*$C$46+Q39*$C$47+R39*$C$48</s:f>
        <s:v>0</s:v>
      </s:c>
      <s:c r="Q42" s="147"/>
      <s:c r="R42" s="150"/>
      <s:c r="S42" s="149">
        <s:f>S39*$C$46+T39*$C$47+U39*$C$48</s:f>
        <s:v>0</s:v>
      </s:c>
      <s:c r="T42" s="147"/>
      <s:c r="U42" s="150"/>
      <s:c r="V42" s="149">
        <s:f>V39*$C$46+W39*$C$47+X39*$C$48</s:f>
        <s:v>0</s:v>
      </s:c>
      <s:c r="W42" s="147"/>
      <s:c r="X42" s="150"/>
      <s:c r="Y42" s="149">
        <s:f>Y39*$C$46+Z39*$C$47+AA39*$C$48</s:f>
        <s:v>0</s:v>
      </s:c>
      <s:c r="Z42" s="147"/>
      <s:c r="AA42" s="150"/>
      <s:c r="AB42" s="149">
        <s:f>AB39*$C$46+AC39*$C$47+AD39*$C$48</s:f>
        <s:v>0</s:v>
      </s:c>
      <s:c r="AC42" s="147"/>
      <s:c r="AD42" s="150"/>
      <s:c r="AE42" s="146">
        <s:f>AE39*$C$46+AF39*$C$47+AG39*$C$48</s:f>
        <s:v>0</s:v>
      </s:c>
      <s:c r="AF42" s="147"/>
      <s:c r="AG42" s="148"/>
      <s:c r="AH42" s="149">
        <s:f>AH39*$C$46+AI39*$C$47+AJ39*$C$48</s:f>
        <s:v>0</s:v>
      </s:c>
      <s:c r="AI42" s="147"/>
      <s:c r="AJ42" s="150"/>
      <s:c r="AK42" s="146">
        <s:f>AK39*$C$46+AL39*$C$47+AM39*$C$48</s:f>
        <s:v>0</s:v>
      </s:c>
      <s:c r="AL42" s="147"/>
      <s:c r="AM42" s="148"/>
      <s:c r="AN42" s="149">
        <s:f>AN39*$C$46+AO39*$C$47+AP39*$C$48</s:f>
        <s:v>0</s:v>
      </s:c>
      <s:c r="AO42" s="147"/>
      <s:c r="AP42" s="150"/>
      <s:c r="AQ42" s="146">
        <s:f>AQ39*$C$46+AR39*$C$47+AS39*$C$48</s:f>
        <s:v>0</s:v>
      </s:c>
      <s:c r="AR42" s="147"/>
      <s:c r="AS42" s="148"/>
      <s:c r="AT42" s="149">
        <s:f>AT39*$C$46+AU39*$C$47+AV39*$C$48</s:f>
        <s:v>0</s:v>
      </s:c>
      <s:c r="AU42" s="147"/>
      <s:c r="AV42" s="150"/>
      <s:c r="AW42" s="146">
        <s:f>AW39*$C$46+AX39*$C$47+AY39*$C$48</s:f>
        <s:v>0</s:v>
      </s:c>
      <s:c r="AX42" s="147"/>
      <s:c r="AY42" s="148"/>
      <s:c r="AZ42" s="149">
        <s:f>AZ39*$C$46+BA39*$C$47+BB39*$C$48</s:f>
        <s:v>0</s:v>
      </s:c>
      <s:c r="BA42" s="147"/>
      <s:c r="BB42" s="150"/>
      <s:c r="BC42" s="146">
        <s:f>BC39*$C$46+BD39*$C$47+BE39*$C$48</s:f>
        <s:v>0</s:v>
      </s:c>
      <s:c r="BD42" s="147"/>
      <s:c r="BE42" s="148"/>
      <s:c r="BF42" s="149">
        <s:f>BF39*$C$46+BG39*$C$47+BH39*$C$48</s:f>
        <s:v>0</s:v>
      </s:c>
      <s:c r="BG42" s="147"/>
      <s:c r="BH42" s="150"/>
      <s:c r="BI42" s="146">
        <s:f>BI39*$C$46+BJ39*$C$47+BK39*$C$48</s:f>
        <s:v>0</s:v>
      </s:c>
      <s:c r="BJ42" s="147"/>
      <s:c r="BK42" s="148"/>
      <s:c r="BL42" s="149">
        <s:f>BL39*$C$46+BM39*$C$47+BN39*$C$48</s:f>
        <s:v>0</s:v>
      </s:c>
      <s:c r="BM42" s="147"/>
      <s:c r="BN42" s="150"/>
      <s:c r="BO42" s="146">
        <s:f>BO39*$C$46+BP39*$C$47+BQ39*$C$48</s:f>
        <s:v>0</s:v>
      </s:c>
      <s:c r="BP42" s="147"/>
      <s:c r="BQ42" s="148"/>
      <s:c r="BR42" s="149">
        <s:f>BR39*$C$46+BS39*$C$47+BT39*$C$48</s:f>
        <s:v>0</s:v>
      </s:c>
      <s:c r="BS42" s="147"/>
      <s:c r="BT42" s="150"/>
      <s:c r="BU42" s="146">
        <s:f>BU39*$C$46+BV39*$C$47+BW39*$C$48</s:f>
        <s:v>11900</s:v>
      </s:c>
      <s:c r="BV42" s="147"/>
      <s:c r="BW42" s="148"/>
      <s:c r="BX42" s="149">
        <s:f>BX39*$C$46+BY39*$C$47+BZ39*$C$48</s:f>
        <s:v>52200</s:v>
      </s:c>
      <s:c r="BY42" s="147"/>
      <s:c r="BZ42" s="150"/>
      <s:c r="CA42" s="146">
        <s:f>CA39*$C$46+CB39*$C$47+CC39*$C$48</s:f>
        <s:v>61800</s:v>
      </s:c>
      <s:c r="CB42" s="147"/>
      <s:c r="CC42" s="148"/>
      <s:c r="CD42" s="149">
        <s:f>CD39*$C$46+CE39*$C$47+CF39*$C$48</s:f>
        <s:v>62650</s:v>
      </s:c>
      <s:c r="CE42" s="147"/>
      <s:c r="CF42" s="150"/>
      <s:c r="CG42" s="146">
        <s:f>CG39*$C$46+CH39*$C$47+CI39*$C$48</s:f>
        <s:v>63400</s:v>
      </s:c>
      <s:c r="CH42" s="147"/>
      <s:c r="CI42" s="148"/>
      <s:c r="CJ42" s="149">
        <s:f>CJ39*$C$46+CK39*$C$47+CL39*$C$48</s:f>
        <s:v>0</s:v>
      </s:c>
      <s:c r="CK42" s="147"/>
      <s:c r="CL42" s="150"/>
      <s:c r="CM42" s="146">
        <s:f>CM39*$C$46+CN39*$C$47+CO39*$C$48</s:f>
        <s:v>0</s:v>
      </s:c>
      <s:c r="CN42" s="147"/>
      <s:c r="CO42" s="148"/>
      <s:c r="CP42" s="149">
        <s:f>CP39*$C$46+CQ39*$C$47+CR39*$C$48</s:f>
        <s:v>0</s:v>
      </s:c>
      <s:c r="CQ42" s="147"/>
      <s:c r="CR42" s="150"/>
      <s:c r="CS42" s="106"/>
      <s:c r="CT42" s="107"/>
      <s:c r="CU42" s="107"/>
      <s:c r="CV42" s="116" t="s">
        <s:v>41</s:v>
      </s:c>
      <s:c r="CW42" s="113">
        <s:f>SUM(D42:CR42)</s:f>
        <s:v>251950</s:v>
      </s:c>
      <s:c r="CY42" s="112"/>
    </s:row>
    <s:row r="43" ht="24.75">
      <s:c r="B43" s="73" t="s">
        <s:v>36</s:v>
      </s:c>
      <s:c r="D43" s="156">
        <s:f>D40*$C$46+E40*$C$47+F40*$C$48</s:f>
        <s:v>0</s:v>
      </s:c>
      <s:c r="E43" s="157"/>
      <s:c r="F43" s="158"/>
      <s:c r="G43" s="159">
        <s:f>G40*$C$46+H40*$C$47+I40*$C$48</s:f>
        <s:v>0</s:v>
      </s:c>
      <s:c r="H43" s="157"/>
      <s:c r="I43" s="160"/>
      <s:c r="J43" s="161">
        <s:f>J40*$C$46+K40*$C$47+L40*$C$48</s:f>
        <s:v>0</s:v>
      </s:c>
      <s:c r="K43" s="162"/>
      <s:c r="L43" s="163"/>
      <s:c r="M43" s="161">
        <s:f>M40*$C$46+N40*$C$47+O40*$C$48</s:f>
        <s:v>0</s:v>
      </s:c>
      <s:c r="N43" s="162"/>
      <s:c r="O43" s="163"/>
      <s:c r="P43" s="161">
        <s:f>P40*$C$46+Q40*$C$47+R40*$C$48</s:f>
        <s:v>0</s:v>
      </s:c>
      <s:c r="Q43" s="162"/>
      <s:c r="R43" s="163"/>
      <s:c r="S43" s="161">
        <s:f>S40*$C$46+T40*$C$47+U40*$C$48</s:f>
        <s:v>0</s:v>
      </s:c>
      <s:c r="T43" s="162"/>
      <s:c r="U43" s="163"/>
      <s:c r="V43" s="161">
        <s:f>V40*$C$46+W40*$C$47+X40*$C$48</s:f>
        <s:v>0</s:v>
      </s:c>
      <s:c r="W43" s="162"/>
      <s:c r="X43" s="163"/>
      <s:c r="Y43" s="161">
        <s:f>Y40*$C$46+Z40*$C$47+AA40*$C$48</s:f>
        <s:v>0</s:v>
      </s:c>
      <s:c r="Z43" s="162"/>
      <s:c r="AA43" s="163"/>
      <s:c r="AB43" s="161">
        <s:f>AB40*$C$46+AC40*$C$47+AD40*$C$48</s:f>
        <s:v>0</s:v>
      </s:c>
      <s:c r="AC43" s="162"/>
      <s:c r="AD43" s="163"/>
      <s:c r="AE43" s="161">
        <s:f>AE40*$C$46+AF40*$C$47+AG40*$C$48</s:f>
        <s:v>0</s:v>
      </s:c>
      <s:c r="AF43" s="162"/>
      <s:c r="AG43" s="163"/>
      <s:c r="AH43" s="161">
        <s:f>AH40*$C$46+AI40*$C$47+AJ40*$C$48</s:f>
        <s:v>0</s:v>
      </s:c>
      <s:c r="AI43" s="162"/>
      <s:c r="AJ43" s="163"/>
      <s:c r="AK43" s="161">
        <s:f>AK40*$C$46+AL40*$C$47+AM40*$C$48</s:f>
        <s:v>0</s:v>
      </s:c>
      <s:c r="AL43" s="162"/>
      <s:c r="AM43" s="163"/>
      <s:c r="AN43" s="161">
        <s:f>AN40*$C$46+AO40*$C$47+AP40*$C$48</s:f>
        <s:v>0</s:v>
      </s:c>
      <s:c r="AO43" s="162"/>
      <s:c r="AP43" s="163"/>
      <s:c r="AQ43" s="161">
        <s:f>AQ40*$C$46+AR40*$C$47+AS40*$C$48</s:f>
        <s:v>0</s:v>
      </s:c>
      <s:c r="AR43" s="162"/>
      <s:c r="AS43" s="163"/>
      <s:c r="AT43" s="156">
        <s:f>AT40*$C$46+AU40*$C$47+AV40*$C$48</s:f>
        <s:v>0</s:v>
      </s:c>
      <s:c r="AU43" s="157"/>
      <s:c r="AV43" s="158"/>
      <s:c r="AW43" s="159">
        <s:f>AW40*$C$46+AX40*$C$47+AY40*$C$48</s:f>
        <s:v>0</s:v>
      </s:c>
      <s:c r="AX43" s="157"/>
      <s:c r="AY43" s="160"/>
      <s:c r="AZ43" s="156">
        <s:f>AZ40*$C$46+BA40*$C$47+BB40*$C$48</s:f>
        <s:v>0</s:v>
      </s:c>
      <s:c r="BA43" s="157"/>
      <s:c r="BB43" s="158"/>
      <s:c r="BC43" s="159">
        <s:f>BC40*$C$46+BD40*$C$47+BE40*$C$48</s:f>
        <s:v>0</s:v>
      </s:c>
      <s:c r="BD43" s="157"/>
      <s:c r="BE43" s="160"/>
      <s:c r="BF43" s="156">
        <s:f>BF40*$C$46+BG40*$C$47+BH40*$C$48</s:f>
        <s:v>0</s:v>
      </s:c>
      <s:c r="BG43" s="157"/>
      <s:c r="BH43" s="158"/>
      <s:c r="BI43" s="159">
        <s:f>BI40*$C$46+BJ40*$C$47+BK40*$C$48</s:f>
        <s:v>0</s:v>
      </s:c>
      <s:c r="BJ43" s="157"/>
      <s:c r="BK43" s="160"/>
      <s:c r="BL43" s="156">
        <s:f>BL40*$C$46+BM40*$C$47+BN40*$C$48</s:f>
        <s:v>0</s:v>
      </s:c>
      <s:c r="BM43" s="157"/>
      <s:c r="BN43" s="158"/>
      <s:c r="BO43" s="159">
        <s:f>BO40*$C$46+BP40*$C$47+BQ40*$C$48</s:f>
        <s:v>0</s:v>
      </s:c>
      <s:c r="BP43" s="157"/>
      <s:c r="BQ43" s="160"/>
      <s:c r="BR43" s="156">
        <s:f>BR40*$C$46+BS40*$C$47+BT40*$C$48</s:f>
        <s:v>0</s:v>
      </s:c>
      <s:c r="BS43" s="157"/>
      <s:c r="BT43" s="158"/>
      <s:c r="BU43" s="159">
        <s:f>BU40*$C$46+BV40*$C$47+BW40*$C$48</s:f>
        <s:v>11050</s:v>
      </s:c>
      <s:c r="BV43" s="157"/>
      <s:c r="BW43" s="160"/>
      <s:c r="BX43" s="156">
        <s:f>BX40*$C$46+BY40*$C$47+BZ40*$C$48</s:f>
        <s:v>21450</s:v>
      </s:c>
      <s:c r="BY43" s="157"/>
      <s:c r="BZ43" s="158"/>
      <s:c r="CA43" s="159">
        <s:f>CA40*$C$46+CB40*$C$47+CC40*$C$48</s:f>
        <s:v>21450</s:v>
      </s:c>
      <s:c r="CB43" s="157"/>
      <s:c r="CC43" s="160"/>
      <s:c r="CD43" s="156">
        <s:f>CD40*$C$46+CE40*$C$47+CF40*$C$48</s:f>
        <s:v>21450</s:v>
      </s:c>
      <s:c r="CE43" s="157"/>
      <s:c r="CF43" s="158"/>
      <s:c r="CG43" s="159">
        <s:f>CG40*$C$46+CH40*$C$47+CI40*$C$48</s:f>
        <s:v>21450</s:v>
      </s:c>
      <s:c r="CH43" s="157"/>
      <s:c r="CI43" s="160"/>
      <s:c r="CJ43" s="156">
        <s:f>CJ40*$C$46+CK40*$C$47+CL40*$C$48</s:f>
        <s:v>0</s:v>
      </s:c>
      <s:c r="CK43" s="157"/>
      <s:c r="CL43" s="158"/>
      <s:c r="CM43" s="159">
        <s:f>CM40*$C$46+CN40*$C$47+CO40*$C$48</s:f>
        <s:v>0</s:v>
      </s:c>
      <s:c r="CN43" s="157"/>
      <s:c r="CO43" s="160"/>
      <s:c r="CP43" s="156">
        <s:f>CP40*$C$46+CQ40*$C$47+CR40*$C$48</s:f>
        <s:v>0</s:v>
      </s:c>
      <s:c r="CQ43" s="157"/>
      <s:c r="CR43" s="158"/>
      <s:c r="CS43" s="104"/>
      <s:c r="CT43" s="105"/>
      <s:c r="CU43" s="105"/>
      <s:c r="CV43" s="105"/>
      <s:c r="CW43" s="105"/>
      <s:c r="CX43" s="108" t="s">
        <s:v>37</s:v>
      </s:c>
      <s:c r="CY43" s="113">
        <s:f>SUM(D43:CR43)</s:f>
        <s:v>96850</s:v>
      </s:c>
    </s:row>
    <s:row x14ac:dyDescent="0.3" r="44" spans="1:107" ht="21.6" customHeight="1"/>
    <s:row r="45" ht="21.75">
      <s:c r="B45" s="3" t="s">
        <s:v>22</s:v>
      </s:c>
      <s:c r="C45" s="1" t="s">
        <s:v>21</s:v>
      </s:c>
      <s:c r="D45" s="1" t="s">
        <s:v>20</s:v>
      </s:c>
      <s:c r="G45" s="4" t="s">
        <s:v>98</s:v>
      </s:c>
    </s:row>
    <s:row r="46" ht="21.75">
      <s:c r="B46" s="2" t="s">
        <s:v>14</s:v>
      </s:c>
      <s:c r="C46" s="64">
        <s:v>800</s:v>
      </s:c>
      <s:c r="D46" s="65">
        <s:f>C46*1.22</s:f>
        <s:v>976</s:v>
      </s:c>
      <s:c r="CV46" s="170" t="s">
        <s:v>56</s:v>
      </s:c>
      <s:c r="CW46" s="171"/>
      <s:c r="CX46" s="171"/>
      <s:c r="CY46" s="172"/>
    </s:row>
    <s:row r="47" ht="21.75">
      <s:c r="B47" s="2" t="s">
        <s:v>15</s:v>
      </s:c>
      <s:c r="C47" s="64">
        <s:v>1000</s:v>
      </s:c>
      <s:c r="D47" s="65">
        <s:f>C47*1.22</s:f>
        <s:v>1220</s:v>
      </s:c>
      <s:c r="CV47" s="142" t="s">
        <s:v>83</s:v>
      </s:c>
      <s:c r="CW47" s="143" t="s">
        <s:v>65</s:v>
      </s:c>
      <s:c r="CX47" s="144"/>
      <s:c r="CY47" s="145">
        <s:f>CX41/1.22*0.22+(CX37-CX41/1.22*0.22)*0.15</s:f>
        <s:v>158.95</s:v>
      </s:c>
    </s:row>
    <s:row r="48" ht="21.75">
      <s:c r="B48" s="2" t="s">
        <s:v>16</s:v>
      </s:c>
      <s:c r="C48" s="64">
        <s:v>850</s:v>
      </s:c>
      <s:c r="D48" s="65">
        <s:f>C48*1.22</s:f>
        <s:v>1037</s:v>
      </s:c>
      <s:c r="CV48" s="192" t="s">
        <s:v>118</s:v>
      </s:c>
      <s:c r="CW48" s="143" t="s">
        <s:v>65</s:v>
      </s:c>
      <s:c r="CX48" s="144"/>
      <s:c r="CY48" s="145">
        <s:f validation_="true">CW37/1.02*0.02</s:f>
        <s:v>4924.50980392156</s:v>
      </s:c>
    </s:row>
    <s:row r="49">
      <s:c r="CV49" s="142" t="s">
        <s:v>68</s:v>
      </s:c>
      <s:c r="CW49" s="143" t="s">
        <s:v>65</s:v>
      </s:c>
      <s:c r="CX49" s="144"/>
      <s:c r="CY49" s="145">
        <s:f validation_="true">(CW37-CY48)*0.15</s:f>
        <s:v>36933.8235294117</s:v>
      </s:c>
    </s:row>
    <s:row r="50" ht="21.75">
      <s:c r="CV50" s="130" t="s">
        <s:v>57</s:v>
      </s:c>
      <s:c r="CW50" s="141" t="s">
        <s:v>66</s:v>
      </s:c>
      <s:c r="CX50" s="125"/>
      <s:c r="CY50" s="131">
        <s:v>51131.65</s:v>
      </s:c>
    </s:row>
    <s:row r="51" ht="21.75">
      <s:c r="CV51" s="130" t="s">
        <s:v>58</s:v>
      </s:c>
      <s:c r="CW51" s="141" t="s">
        <s:v>66</s:v>
      </s:c>
      <s:c r="CX51" s="125"/>
      <s:c r="CY51" s="131">
        <s:v>63000</s:v>
      </s:c>
    </s:row>
    <s:row r="52" ht="21.75">
      <s:c r="C52" s="64" t="s">
        <s:v>19</s:v>
      </s:c>
      <s:c r="CV52" s="130" t="s">
        <s:v>59</s:v>
      </s:c>
      <s:c r="CW52" s="141" t="s">
        <s:v>65</s:v>
      </s:c>
      <s:c r="CX52" s="125"/>
      <s:c r="CY52" s="132"/>
    </s:row>
    <s:row r="53" ht="19.5">
      <s:c r="C53" s="64" t="s">
        <s:v>17</s:v>
      </s:c>
      <s:c r="CV53" s="130" t="s">
        <s:v>62</s:v>
      </s:c>
      <s:c r="CW53" s="141"/>
      <s:c r="CX53" s="125"/>
      <s:c r="CY53" s="132"/>
    </s:row>
    <s:row r="54" ht="21.75">
      <s:c r="C54" s="64" t="s">
        <s:v>18</s:v>
      </s:c>
      <s:c r="CV54" s="130"/>
      <s:c r="CW54" s="141"/>
      <s:c r="CX54" s="125"/>
      <s:c r="CY54" s="132"/>
    </s:row>
    <s:row r="55" ht="21.75">
      <s:c r="C55" s="64" t="s">
        <s:v>28</s:v>
      </s:c>
      <s:c r="CV55" s="134" t="s">
        <s:v>61</s:v>
      </s:c>
      <s:c r="CW55" s="141"/>
      <s:c r="CX55" s="135"/>
      <s:c r="CY55" s="136">
        <s:f>CV37-SUM(CY47:CY54)</s:f>
        <s:v>191851.066666666</s:v>
      </s:c>
    </s:row>
    <s:row r="56" ht="21.75">
      <s:c r="CV56" s="129" t="s">
        <s:v>64</s:v>
      </s:c>
      <s:c r="CW56" s="137"/>
      <s:c r="CX56" s="137"/>
      <s:c r="CY56" s="139">
        <s:f>CY37-SUMIF(CW47:CW54,"наличные",CY47:CY54)</s:f>
        <s:v>-17281.6499999999</s:v>
      </s:c>
    </s:row>
    <s:row r="57">
      <s:c r="CV57" s="133" t="s">
        <s:v>63</s:v>
      </s:c>
      <s:c r="CW57" s="138"/>
      <s:c r="CX57" s="138"/>
      <s:c r="CY57" s="140">
        <s:f>CW37+CX37-SUMIF(CW47:CW54,"безнал",CY47:CY54)</s:f>
        <s:v>209132.716666666</s:v>
      </s:c>
    </s:row>
  </s:sheetData>
  <s:mergeCells count="127">
    <s:mergeCell ref="CV46:CY46"/>
    <s:mergeCell ref="CG2:CI2"/>
    <s:mergeCell ref="CJ2:CL2"/>
    <s:mergeCell ref="CM2:CO2"/>
    <s:mergeCell ref="CP2:CR2"/>
    <s:mergeCell ref="BO2:BQ2"/>
    <s:mergeCell ref="BR2:BT2"/>
    <s:mergeCell ref="BU2:BW2"/>
    <s:mergeCell ref="BX2:BZ2"/>
    <s:mergeCell ref="CA2:CC2"/>
    <s:mergeCell ref="CD2:CF2"/>
    <s:mergeCell ref="CV36:CY36"/>
    <s:mergeCell ref="BX41:BZ41"/>
    <s:mergeCell ref="CA42:CC42"/>
    <s:mergeCell ref="CD42:CF42"/>
    <s:mergeCell ref="CM43:CO43"/>
    <s:mergeCell ref="CP43:CR43"/>
    <s:mergeCell ref="BR43:BT43"/>
    <s:mergeCell ref="BU43:BW43"/>
    <s:mergeCell ref="BX43:BZ43"/>
    <s:mergeCell ref="CA43:CC43"/>
    <s:mergeCell ref="CD43:CF43"/>
    <s:mergeCell ref="CG43:CI43"/>
    <s:mergeCell ref="CJ43:CL43"/>
    <s:mergeCell ref="BL2:BN2"/>
    <s:mergeCell ref="AE2:AG2"/>
    <s:mergeCell ref="AH2:AJ2"/>
    <s:mergeCell ref="AK2:AM2"/>
    <s:mergeCell ref="AN2:AP2"/>
    <s:mergeCell ref="AQ2:AS2"/>
    <s:mergeCell ref="AT2:AV2"/>
    <s:mergeCell ref="AW2:AY2"/>
    <s:mergeCell ref="AZ2:BB2"/>
    <s:mergeCell ref="BC2:BE2"/>
    <s:mergeCell ref="BF2:BH2"/>
    <s:mergeCell ref="BI2:BK2"/>
    <s:mergeCell ref="AY1:BH1"/>
    <s:mergeCell ref="D2:F2"/>
    <s:mergeCell ref="G2:I2"/>
    <s:mergeCell ref="J2:L2"/>
    <s:mergeCell ref="M2:O2"/>
    <s:mergeCell ref="P2:R2"/>
    <s:mergeCell ref="S2:U2"/>
    <s:mergeCell ref="AB2:AD2"/>
    <s:mergeCell ref="Y2:AA2"/>
    <s:mergeCell ref="V2:X2"/>
    <s:mergeCell ref="J41:L41"/>
    <s:mergeCell ref="J42:L42"/>
    <s:mergeCell ref="J43:L43"/>
    <s:mergeCell ref="M41:O41"/>
    <s:mergeCell ref="M42:O42"/>
    <s:mergeCell ref="M43:O43"/>
    <s:mergeCell ref="P41:R41"/>
    <s:mergeCell ref="S41:U41"/>
    <s:mergeCell ref="V41:X41"/>
    <s:mergeCell ref="Y41:AA41"/>
    <s:mergeCell ref="AB41:AD41"/>
    <s:mergeCell ref="AE41:AG41"/>
    <s:mergeCell ref="AH41:AJ41"/>
    <s:mergeCell ref="AK41:AM41"/>
    <s:mergeCell ref="AN41:AP41"/>
    <s:mergeCell ref="CM41:CO41"/>
    <s:mergeCell ref="CP41:CR41"/>
    <s:mergeCell ref="P42:R42"/>
    <s:mergeCell ref="S42:U42"/>
    <s:mergeCell ref="V42:X42"/>
    <s:mergeCell ref="Y42:AA42"/>
    <s:mergeCell ref="AB42:AD42"/>
    <s:mergeCell ref="AE42:AG42"/>
    <s:mergeCell ref="CA41:CC41"/>
    <s:mergeCell ref="CD41:CF41"/>
    <s:mergeCell ref="CG41:CI41"/>
    <s:mergeCell ref="BF41:BH41"/>
    <s:mergeCell ref="BI41:BK41"/>
    <s:mergeCell ref="BL41:BN41"/>
    <s:mergeCell ref="BO41:BQ41"/>
    <s:mergeCell ref="CM42:CO42"/>
    <s:mergeCell ref="CP42:CR42"/>
    <s:mergeCell ref="BU41:BW41"/>
    <s:mergeCell ref="AN43:AP43"/>
    <s:mergeCell ref="AH42:AJ42"/>
    <s:mergeCell ref="AK42:AM42"/>
    <s:mergeCell ref="AN42:AP42"/>
    <s:mergeCell ref="AQ42:AS42"/>
    <s:mergeCell ref="AT42:AV42"/>
    <s:mergeCell ref="AW42:AY42"/>
    <s:mergeCell ref="AZ42:BB42"/>
    <s:mergeCell ref="BO43:BQ43"/>
    <s:mergeCell ref="AZ43:BB43"/>
    <s:mergeCell ref="BC43:BE43"/>
    <s:mergeCell ref="BF43:BH43"/>
    <s:mergeCell ref="BI43:BK43"/>
    <s:mergeCell ref="BL43:BN43"/>
    <s:mergeCell ref="D41:F41"/>
    <s:mergeCell ref="G41:I41"/>
    <s:mergeCell ref="D42:F42"/>
    <s:mergeCell ref="G42:I42"/>
    <s:mergeCell ref="D43:F43"/>
    <s:mergeCell ref="G43:I43"/>
    <s:mergeCell ref="AQ43:AS43"/>
    <s:mergeCell ref="AT43:AV43"/>
    <s:mergeCell ref="AW43:AY43"/>
    <s:mergeCell ref="BC42:BE42"/>
    <s:mergeCell ref="BF42:BH42"/>
    <s:mergeCell ref="BI42:BK42"/>
    <s:mergeCell ref="BL42:BN42"/>
    <s:mergeCell ref="P43:R43"/>
    <s:mergeCell ref="S43:U43"/>
    <s:mergeCell ref="V43:X43"/>
    <s:mergeCell ref="Y43:AA43"/>
    <s:mergeCell ref="AB43:AD43"/>
    <s:mergeCell ref="AE43:AG43"/>
    <s:mergeCell ref="AH43:AJ43"/>
    <s:mergeCell ref="AK43:AM43"/>
    <s:mergeCell ref="CG42:CI42"/>
    <s:mergeCell ref="CJ42:CL42"/>
    <s:mergeCell ref="CJ41:CL41"/>
    <s:mergeCell ref="BR41:BT41"/>
    <s:mergeCell ref="AQ41:AS41"/>
    <s:mergeCell ref="AT41:AV41"/>
    <s:mergeCell ref="AW41:AY41"/>
    <s:mergeCell ref="AZ41:BB41"/>
    <s:mergeCell ref="BC41:BE41"/>
    <s:mergeCell ref="BR42:BT42"/>
    <s:mergeCell ref="BU42:BW42"/>
    <s:mergeCell ref="BX42:BZ42"/>
    <s:mergeCell ref="BO42:BQ42"/>
  </s:mergeCells>
  <s:phoneticPr fontId="16" type="noConversion"/>
  <s:conditionalFormatting sqref="B4:C35">
    <s:cfRule type="containsBlanks" dxfId="87" priority="7">
      <s:formula>LEN(TRIM(B4))=0</s:formula>
    </s:cfRule>
  </s:conditionalFormatting>
  <s:conditionalFormatting sqref="B36:C36">
    <s:cfRule type="expression" dxfId="86" priority="24">
      <s:formula>$CZ36=$DE$4</s:formula>
    </s:cfRule>
    <s:cfRule type="expression" dxfId="85" priority="25">
      <s:formula>$CZ36=$DE$5</s:formula>
    </s:cfRule>
    <s:cfRule type="expression" dxfId="84" priority="26">
      <s:formula>$CZ36=$DE$6</s:formula>
    </s:cfRule>
  </s:conditionalFormatting>
  <s:conditionalFormatting sqref="D2 G2 J2 M2 P2 S2 V2 Y2 AB2 AE2 AH2 AK2 AN2 AQ2 AT2 AW2 AZ2 BC2 BF2 BI2 BL2 BO2 BR2 BU2 BX2 CA2 CD2 CG2 CJ2 CM2 CP2">
    <s:cfRule type="timePeriod" dxfId="83" priority="12" timePeriod="today">
      <s:formula>FLOOR(D2,1)=TODAY()</s:formula>
    </s:cfRule>
  </s:conditionalFormatting>
  <s:conditionalFormatting sqref="F4:CR35">
    <s:cfRule type="cellIs" dxfId="82" priority="3" operator="equal">
      <s:formula>0</s:formula>
    </s:cfRule>
    <s:cfRule type="containsBlanks" dxfId="81" priority="4">
      <s:formula>LEN(TRIM(F4))=0</s:formula>
    </s:cfRule>
  </s:conditionalFormatting>
  <s:conditionalFormatting sqref="H4:H35">
    <s:cfRule type="expression" dxfId="80" priority="74">
      <s:formula>AND(COLUMN()&gt;COLUMN($F$4),C4&lt;&gt;"",H4&gt;C4)</s:formula>
    </s:cfRule>
    <s:cfRule type="expression" dxfId="79" priority="76">
      <s:formula>AND(COLUMN()&gt;COLUMN($F$4),C4&lt;&gt;"",H4&lt;C4)</s:formula>
    </s:cfRule>
  </s:conditionalFormatting>
  <s:conditionalFormatting sqref="I3 L3 O3 R3 U3 X3 AA3 AD3 AG3 AJ3 AM3 AP3 AS3 AV3 AY3 BB3 BE3 BH3 BK3 BN3 BQ3 BT3 BW3 BZ3 CC3 CF3 CI3 CL3 CO3 CR3">
    <s:cfRule type="timePeriod" dxfId="78" priority="2" timePeriod="today">
      <s:formula>FLOOR(I3,1)=TODAY()</s:formula>
    </s:cfRule>
  </s:conditionalFormatting>
  <s:conditionalFormatting sqref="I36 L36 O36 R36 U36 X36 AA36 AD36 AG36 AJ36 AM36 AP36 AS36 AV36 AY36 BB36 BE36 BH36 BK36 BN36 BQ36 BT36 BW36 BZ36 CC36 CF36 CI36 CL36 CO36 CR36">
    <s:cfRule type="timePeriod" dxfId="77" priority="1" timePeriod="today">
      <s:formula>FLOOR(I36,1)=TODAY()</s:formula>
    </s:cfRule>
  </s:conditionalFormatting>
  <s:conditionalFormatting sqref="I4:J35">
    <s:cfRule type="expression" dxfId="76" priority="90">
      <s:formula>AND(COLUMN()&gt;COLUMN($F$4),C4&lt;&gt;"",I4&gt;C4)</s:formula>
    </s:cfRule>
    <s:cfRule type="expression" dxfId="75" priority="91">
      <s:formula>AND(COLUMN()&gt;COLUMN($F$4),C4&lt;&gt;"",I4&lt;C4)</s:formula>
    </s:cfRule>
  </s:conditionalFormatting>
  <s:conditionalFormatting sqref="K4:K35">
    <s:cfRule type="expression" dxfId="74" priority="102">
      <s:formula>AND(COLUMN()&gt;COLUMN($F$4),D4&lt;&gt;"",K4&gt;D4)</s:formula>
    </s:cfRule>
    <s:cfRule type="expression" dxfId="73" priority="104">
      <s:formula>AND(COLUMN()&gt;COLUMN($F$4),D4&lt;&gt;"",K4&lt;D4)</s:formula>
    </s:cfRule>
  </s:conditionalFormatting>
  <s:conditionalFormatting sqref="L4:M35">
    <s:cfRule type="expression" dxfId="72" priority="118">
      <s:formula>AND(COLUMN()&gt;COLUMN($F$4),D4&lt;&gt;"",L4&gt;D4)</s:formula>
    </s:cfRule>
    <s:cfRule type="expression" dxfId="71" priority="119">
      <s:formula>AND(COLUMN()&gt;COLUMN($F$4),D4&lt;&gt;"",L4&lt;D4)</s:formula>
    </s:cfRule>
  </s:conditionalFormatting>
  <s:conditionalFormatting sqref="N4:N35">
    <s:cfRule type="expression" dxfId="70" priority="130">
      <s:formula>AND(COLUMN()&gt;COLUMN($F$4),E4&lt;&gt;"",N4&gt;E4)</s:formula>
    </s:cfRule>
    <s:cfRule type="expression" dxfId="69" priority="132">
      <s:formula>AND(COLUMN()&gt;COLUMN($F$4),E4&lt;&gt;"",N4&lt;E4)</s:formula>
    </s:cfRule>
  </s:conditionalFormatting>
  <s:conditionalFormatting sqref="O4:P35">
    <s:cfRule type="expression" dxfId="68" priority="146">
      <s:formula>AND(COLUMN()&gt;COLUMN($F$4),E4&lt;&gt;"",O4&gt;E4)</s:formula>
    </s:cfRule>
    <s:cfRule type="expression" dxfId="67" priority="147">
      <s:formula>AND(COLUMN()&gt;COLUMN($F$4),E4&lt;&gt;"",O4&lt;E4)</s:formula>
    </s:cfRule>
  </s:conditionalFormatting>
  <s:conditionalFormatting sqref="Q4:Q35">
    <s:cfRule type="expression" dxfId="66" priority="158">
      <s:formula>AND(COLUMN()&gt;COLUMN($F$4),F4&lt;&gt;"",Q4&gt;F4)</s:formula>
    </s:cfRule>
    <s:cfRule type="expression" dxfId="65" priority="160">
      <s:formula>AND(COLUMN()&gt;COLUMN($F$4),F4&lt;&gt;"",Q4&lt;F4)</s:formula>
    </s:cfRule>
  </s:conditionalFormatting>
  <s:conditionalFormatting sqref="R4:S35">
    <s:cfRule type="expression" dxfId="64" priority="174">
      <s:formula>AND(COLUMN()&gt;COLUMN($F$4),F4&lt;&gt;"",R4&gt;F4)</s:formula>
    </s:cfRule>
    <s:cfRule type="expression" dxfId="63" priority="175">
      <s:formula>AND(COLUMN()&gt;COLUMN($F$4),F4&lt;&gt;"",R4&lt;F4)</s:formula>
    </s:cfRule>
  </s:conditionalFormatting>
  <s:conditionalFormatting sqref="T4:T35">
    <s:cfRule type="expression" dxfId="62" priority="186">
      <s:formula>AND(COLUMN()&gt;COLUMN($F$4),G4&lt;&gt;"",T4&gt;G4)</s:formula>
    </s:cfRule>
    <s:cfRule type="expression" dxfId="61" priority="188">
      <s:formula>AND(COLUMN()&gt;COLUMN($F$4),G4&lt;&gt;"",T4&lt;G4)</s:formula>
    </s:cfRule>
  </s:conditionalFormatting>
  <s:conditionalFormatting sqref="U4:V35">
    <s:cfRule type="expression" dxfId="60" priority="202">
      <s:formula>AND(COLUMN()&gt;COLUMN($F$4),G4&lt;&gt;"",U4&gt;G4)</s:formula>
    </s:cfRule>
    <s:cfRule type="expression" dxfId="59" priority="203">
      <s:formula>AND(COLUMN()&gt;COLUMN($F$4),G4&lt;&gt;"",U4&lt;G4)</s:formula>
    </s:cfRule>
  </s:conditionalFormatting>
  <s:conditionalFormatting sqref="W4:W35">
    <s:cfRule type="expression" dxfId="58" priority="214">
      <s:formula>AND(COLUMN()&gt;COLUMN($F$4),H4&lt;&gt;"",W4&gt;H4)</s:formula>
    </s:cfRule>
    <s:cfRule type="expression" dxfId="57" priority="216">
      <s:formula>AND(COLUMN()&gt;COLUMN($F$4),H4&lt;&gt;"",W4&lt;H4)</s:formula>
    </s:cfRule>
  </s:conditionalFormatting>
  <s:conditionalFormatting sqref="X4:Y35">
    <s:cfRule type="expression" dxfId="56" priority="230">
      <s:formula>AND(COLUMN()&gt;COLUMN($F$4),H4&lt;&gt;"",X4&gt;H4)</s:formula>
    </s:cfRule>
    <s:cfRule type="expression" dxfId="55" priority="231">
      <s:formula>AND(COLUMN()&gt;COLUMN($F$4),H4&lt;&gt;"",X4&lt;H4)</s:formula>
    </s:cfRule>
  </s:conditionalFormatting>
  <s:conditionalFormatting sqref="Z4:Z35">
    <s:cfRule type="expression" dxfId="54" priority="242">
      <s:formula>AND(COLUMN()&gt;COLUMN($F$4),I4&lt;&gt;"",Z4&gt;I4)</s:formula>
    </s:cfRule>
    <s:cfRule type="expression" dxfId="53" priority="244">
      <s:formula>AND(COLUMN()&gt;COLUMN($F$4),I4&lt;&gt;"",Z4&lt;I4)</s:formula>
    </s:cfRule>
  </s:conditionalFormatting>
  <s:conditionalFormatting sqref="AA4:AB35">
    <s:cfRule type="expression" dxfId="52" priority="258">
      <s:formula>AND(COLUMN()&gt;COLUMN($F$4),I4&lt;&gt;"",AA4&gt;I4)</s:formula>
    </s:cfRule>
    <s:cfRule type="expression" dxfId="51" priority="259">
      <s:formula>AND(COLUMN()&gt;COLUMN($F$4),I4&lt;&gt;"",AA4&lt;I4)</s:formula>
    </s:cfRule>
  </s:conditionalFormatting>
  <s:conditionalFormatting sqref="AC4:AC35">
    <s:cfRule type="expression" dxfId="50" priority="270">
      <s:formula>AND(COLUMN()&gt;COLUMN($F$4),J4&lt;&gt;"",AC4&gt;J4)</s:formula>
    </s:cfRule>
    <s:cfRule type="expression" dxfId="49" priority="272">
      <s:formula>AND(COLUMN()&gt;COLUMN($F$4),J4&lt;&gt;"",AC4&lt;J4)</s:formula>
    </s:cfRule>
  </s:conditionalFormatting>
  <s:conditionalFormatting sqref="AD4:AF35">
    <s:cfRule type="expression" dxfId="48" priority="286">
      <s:formula>AND(COLUMN()&gt;COLUMN($F$4),J4&lt;&gt;"",AD4&gt;J4)</s:formula>
    </s:cfRule>
    <s:cfRule type="expression" dxfId="47" priority="287">
      <s:formula>AND(COLUMN()&gt;COLUMN($F$4),J4&lt;&gt;"",AD4&lt;J4)</s:formula>
    </s:cfRule>
  </s:conditionalFormatting>
  <s:conditionalFormatting sqref="AG4:AI35">
    <s:cfRule type="expression" dxfId="46" priority="298">
      <s:formula>AND(COLUMN()&gt;COLUMN($F$4),K4&lt;&gt;"",AG4&gt;K4)</s:formula>
    </s:cfRule>
    <s:cfRule type="expression" dxfId="45" priority="300">
      <s:formula>AND(COLUMN()&gt;COLUMN($F$4),K4&lt;&gt;"",AG4&lt;K4)</s:formula>
    </s:cfRule>
  </s:conditionalFormatting>
  <s:conditionalFormatting sqref="AJ4:AL35">
    <s:cfRule type="expression" dxfId="44" priority="311">
      <s:formula>AND(COLUMN()&gt;COLUMN($F$4),L4&lt;&gt;"",AJ4&gt;L4)</s:formula>
    </s:cfRule>
    <s:cfRule type="expression" dxfId="43" priority="313">
      <s:formula>AND(COLUMN()&gt;COLUMN($F$4),L4&lt;&gt;"",AJ4&lt;L4)</s:formula>
    </s:cfRule>
  </s:conditionalFormatting>
  <s:conditionalFormatting sqref="AM4:AO35">
    <s:cfRule type="expression" dxfId="42" priority="324">
      <s:formula>AND(COLUMN()&gt;COLUMN($F$4),M4&lt;&gt;"",AM4&gt;M4)</s:formula>
    </s:cfRule>
    <s:cfRule type="expression" dxfId="41" priority="326">
      <s:formula>AND(COLUMN()&gt;COLUMN($F$4),M4&lt;&gt;"",AM4&lt;M4)</s:formula>
    </s:cfRule>
  </s:conditionalFormatting>
  <s:conditionalFormatting sqref="AP4:AR35">
    <s:cfRule type="expression" dxfId="40" priority="337">
      <s:formula>AND(COLUMN()&gt;COLUMN($F$4),N4&lt;&gt;"",AP4&gt;N4)</s:formula>
    </s:cfRule>
    <s:cfRule type="expression" dxfId="39" priority="339">
      <s:formula>AND(COLUMN()&gt;COLUMN($F$4),N4&lt;&gt;"",AP4&lt;N4)</s:formula>
    </s:cfRule>
  </s:conditionalFormatting>
  <s:conditionalFormatting sqref="AS4:AU35">
    <s:cfRule type="expression" dxfId="38" priority="350">
      <s:formula>AND(COLUMN()&gt;COLUMN($F$4),O4&lt;&gt;"",AS4&gt;O4)</s:formula>
    </s:cfRule>
    <s:cfRule type="expression" dxfId="37" priority="352">
      <s:formula>AND(COLUMN()&gt;COLUMN($F$4),O4&lt;&gt;"",AS4&lt;O4)</s:formula>
    </s:cfRule>
  </s:conditionalFormatting>
  <s:conditionalFormatting sqref="AV4:AX35">
    <s:cfRule type="expression" dxfId="36" priority="363">
      <s:formula>AND(COLUMN()&gt;COLUMN($F$4),P4&lt;&gt;"",AV4&gt;P4)</s:formula>
    </s:cfRule>
    <s:cfRule type="expression" dxfId="35" priority="365">
      <s:formula>AND(COLUMN()&gt;COLUMN($F$4),P4&lt;&gt;"",AV4&lt;P4)</s:formula>
    </s:cfRule>
  </s:conditionalFormatting>
  <s:conditionalFormatting sqref="AY4:BA35">
    <s:cfRule type="expression" dxfId="34" priority="376">
      <s:formula>AND(COLUMN()&gt;COLUMN($F$4),Q4&lt;&gt;"",AY4&gt;Q4)</s:formula>
    </s:cfRule>
    <s:cfRule type="expression" dxfId="33" priority="378">
      <s:formula>AND(COLUMN()&gt;COLUMN($F$4),Q4&lt;&gt;"",AY4&lt;Q4)</s:formula>
    </s:cfRule>
  </s:conditionalFormatting>
  <s:conditionalFormatting sqref="BB4:BD35">
    <s:cfRule type="expression" dxfId="32" priority="389">
      <s:formula>AND(COLUMN()&gt;COLUMN($F$4),R4&lt;&gt;"",BB4&gt;R4)</s:formula>
    </s:cfRule>
    <s:cfRule type="expression" dxfId="31" priority="391">
      <s:formula>AND(COLUMN()&gt;COLUMN($F$4),R4&lt;&gt;"",BB4&lt;R4)</s:formula>
    </s:cfRule>
  </s:conditionalFormatting>
  <s:conditionalFormatting sqref="BE4:BG35">
    <s:cfRule type="expression" dxfId="30" priority="402">
      <s:formula>AND(COLUMN()&gt;COLUMN($F$4),S4&lt;&gt;"",BE4&gt;S4)</s:formula>
    </s:cfRule>
    <s:cfRule type="expression" dxfId="29" priority="404">
      <s:formula>AND(COLUMN()&gt;COLUMN($F$4),S4&lt;&gt;"",BE4&lt;S4)</s:formula>
    </s:cfRule>
  </s:conditionalFormatting>
  <s:conditionalFormatting sqref="BH4:BJ35">
    <s:cfRule type="expression" dxfId="28" priority="415">
      <s:formula>AND(COLUMN()&gt;COLUMN($F$4),T4&lt;&gt;"",BH4&gt;T4)</s:formula>
    </s:cfRule>
    <s:cfRule type="expression" dxfId="27" priority="417">
      <s:formula>AND(COLUMN()&gt;COLUMN($F$4),T4&lt;&gt;"",BH4&lt;T4)</s:formula>
    </s:cfRule>
  </s:conditionalFormatting>
  <s:conditionalFormatting sqref="BK4:BM35">
    <s:cfRule type="expression" dxfId="26" priority="428">
      <s:formula>AND(COLUMN()&gt;COLUMN($F$4),U4&lt;&gt;"",BK4&gt;U4)</s:formula>
    </s:cfRule>
    <s:cfRule type="expression" dxfId="25" priority="430">
      <s:formula>AND(COLUMN()&gt;COLUMN($F$4),U4&lt;&gt;"",BK4&lt;U4)</s:formula>
    </s:cfRule>
  </s:conditionalFormatting>
  <s:conditionalFormatting sqref="BN4:BP35">
    <s:cfRule type="expression" dxfId="24" priority="441">
      <s:formula>AND(COLUMN()&gt;COLUMN($F$4),V4&lt;&gt;"",BN4&gt;V4)</s:formula>
    </s:cfRule>
    <s:cfRule type="expression" dxfId="23" priority="443">
      <s:formula>AND(COLUMN()&gt;COLUMN($F$4),V4&lt;&gt;"",BN4&lt;V4)</s:formula>
    </s:cfRule>
  </s:conditionalFormatting>
  <s:conditionalFormatting sqref="BQ4:BS35">
    <s:cfRule type="expression" dxfId="22" priority="454">
      <s:formula>AND(COLUMN()&gt;COLUMN($F$4),W4&lt;&gt;"",BQ4&gt;W4)</s:formula>
    </s:cfRule>
    <s:cfRule type="expression" dxfId="21" priority="456">
      <s:formula>AND(COLUMN()&gt;COLUMN($F$4),W4&lt;&gt;"",BQ4&lt;W4)</s:formula>
    </s:cfRule>
  </s:conditionalFormatting>
  <s:conditionalFormatting sqref="BT4:BV35">
    <s:cfRule type="expression" dxfId="20" priority="467">
      <s:formula>AND(COLUMN()&gt;COLUMN($F$4),X4&lt;&gt;"",BT4&gt;X4)</s:formula>
    </s:cfRule>
    <s:cfRule type="expression" dxfId="19" priority="469">
      <s:formula>AND(COLUMN()&gt;COLUMN($F$4),X4&lt;&gt;"",BT4&lt;X4)</s:formula>
    </s:cfRule>
  </s:conditionalFormatting>
  <s:conditionalFormatting sqref="BW4:BY35">
    <s:cfRule type="expression" dxfId="18" priority="480">
      <s:formula>AND(COLUMN()&gt;COLUMN($F$4),Y4&lt;&gt;"",BW4&gt;Y4)</s:formula>
    </s:cfRule>
    <s:cfRule type="expression" dxfId="17" priority="482">
      <s:formula>AND(COLUMN()&gt;COLUMN($F$4),Y4&lt;&gt;"",BW4&lt;Y4)</s:formula>
    </s:cfRule>
  </s:conditionalFormatting>
  <s:conditionalFormatting sqref="BZ4:CB35">
    <s:cfRule type="expression" dxfId="16" priority="493">
      <s:formula>AND(COLUMN()&gt;COLUMN($F$4),Z4&lt;&gt;"",BZ4&gt;Z4)</s:formula>
    </s:cfRule>
    <s:cfRule type="expression" dxfId="15" priority="495">
      <s:formula>AND(COLUMN()&gt;COLUMN($F$4),Z4&lt;&gt;"",BZ4&lt;Z4)</s:formula>
    </s:cfRule>
  </s:conditionalFormatting>
  <s:conditionalFormatting sqref="CC4:CE35">
    <s:cfRule type="expression" dxfId="14" priority="506">
      <s:formula>AND(COLUMN()&gt;COLUMN($F$4),AA4&lt;&gt;"",CC4&gt;AA4)</s:formula>
    </s:cfRule>
    <s:cfRule type="expression" dxfId="13" priority="508">
      <s:formula>AND(COLUMN()&gt;COLUMN($F$4),AA4&lt;&gt;"",CC4&lt;AA4)</s:formula>
    </s:cfRule>
  </s:conditionalFormatting>
  <s:conditionalFormatting sqref="CF4:CH35">
    <s:cfRule type="expression" dxfId="12" priority="519">
      <s:formula>AND(COLUMN()&gt;COLUMN($F$4),AB4&lt;&gt;"",CF4&gt;AB4)</s:formula>
    </s:cfRule>
    <s:cfRule type="expression" dxfId="11" priority="521">
      <s:formula>AND(COLUMN()&gt;COLUMN($F$4),AB4&lt;&gt;"",CF4&lt;AB4)</s:formula>
    </s:cfRule>
  </s:conditionalFormatting>
  <s:conditionalFormatting sqref="CI4:CK35">
    <s:cfRule type="expression" dxfId="10" priority="532">
      <s:formula>AND(COLUMN()&gt;COLUMN($F$4),AC4&lt;&gt;"",CI4&gt;AC4)</s:formula>
    </s:cfRule>
    <s:cfRule type="expression" dxfId="9" priority="534">
      <s:formula>AND(COLUMN()&gt;COLUMN($F$4),AC4&lt;&gt;"",CI4&lt;AC4)</s:formula>
    </s:cfRule>
  </s:conditionalFormatting>
  <s:conditionalFormatting sqref="CL4:CN35">
    <s:cfRule type="expression" dxfId="8" priority="545">
      <s:formula>AND(COLUMN()&gt;COLUMN($F$4),AD4&lt;&gt;"",CL4&gt;AD4)</s:formula>
    </s:cfRule>
    <s:cfRule type="expression" dxfId="7" priority="547">
      <s:formula>AND(COLUMN()&gt;COLUMN($F$4),AD4&lt;&gt;"",CL4&lt;AD4)</s:formula>
    </s:cfRule>
  </s:conditionalFormatting>
  <s:conditionalFormatting sqref="CO4:CQ35">
    <s:cfRule type="expression" dxfId="6" priority="558">
      <s:formula>AND(COLUMN()&gt;COLUMN($F$4),AE4&lt;&gt;"",CO4&gt;AE4)</s:formula>
    </s:cfRule>
    <s:cfRule type="expression" dxfId="5" priority="560">
      <s:formula>AND(COLUMN()&gt;COLUMN($F$4),AE4&lt;&gt;"",CO4&lt;AE4)</s:formula>
    </s:cfRule>
  </s:conditionalFormatting>
  <s:conditionalFormatting sqref="CR4:CR35">
    <s:cfRule type="expression" dxfId="4" priority="571">
      <s:formula>AND(COLUMN()&gt;COLUMN($F$4),AF4&lt;&gt;"",CR4&gt;AF4)</s:formula>
    </s:cfRule>
    <s:cfRule type="expression" dxfId="3" priority="573">
      <s:formula>AND(COLUMN()&gt;COLUMN($F$4),AF4&lt;&gt;"",CR4&lt;AF4)</s:formula>
    </s:cfRule>
  </s:conditionalFormatting>
  <s:dataValidations disablePrompts="1" count="2">
    <s:dataValidation type="list" allowBlank="1" showInputMessage="1" showErrorMessage="1" sqref="C4:C35" vyd:viewType="arrow" mc:Ignorable="vyd">
      <s:formula1>'Февраль 26'!C53:C55</s:formula1>
    </s:dataValidation>
    <s:dataValidation type="list" allowBlank="1" showInputMessage="1" showErrorMessage="1" sqref="CW47:CW54" vyd:viewType="arrow" mc:Ignorable="vyd">
      <s:formula1>"безнал,наличные"</s:formula1>
    </s:dataValidation>
  </s:dataValidations>
  <s:pageMargins left="0.7" right="0.7" top="0.75" bottom="0.75" header="0.3" footer="0.3"/>
  <s:pageSetup paperSize="9" orientation="portrait" r:id="rId1"/>
  <s:legacyDrawing r:id="rId2"/>
</s:worksheet>
</file>

<file path=xl/worksheets/sheet5.xml><?xml version="1.0" encoding="utf-8"?>
<s:worksheet xmlns:s="http://schemas.openxmlformats.org/spreadsheetml/2006/main" xmlns:r="http://schemas.openxmlformats.org/officeDocument/2006/relationships" xmlns:vyd="http://volga.yandex.com/schemas/document/model" xmlns:mc="http://schemas.openxmlformats.org/markup-compatibility/2006" xmlns:x14ac="http://schemas.microsoft.com/office/spreadsheetml/2009/9/ac">
  <s:dimension ref="A1:DC56"/>
  <s:sheetViews>
    <s:sheetView tabSelected="0" zoomScale="50" zoomScaleNormal="50" workbookViewId="0">
      <s:pane xSplit="3" topLeftCell="D1" activePane="topRight" state="frozen"/>
      <s:selection pane="topRight" activeCell="CH45" sqref="CH45"/>
    </s:sheetView>
  </s:sheetViews>
  <s:sheetFormatPr x14ac:dyDescent="0.3" defaultColWidth="10" defaultRowHeight="14.4"/>
  <s:cols>
    <s:col min="1" max="1" width="8.07" bestFit="1" customWidth="1"/>
    <s:col min="2" max="2" width="45.441" customWidth="1"/>
    <s:col min="3" max="3" width="15.332" style="4" customWidth="1"/>
    <s:col min="4" max="4" width="7.887" style="4" customWidth="1"/>
    <s:col min="5" max="96" width="6.441" style="4" customWidth="1"/>
    <s:col min="97" max="97" width="10.109" style="4" bestFit="1" customWidth="1"/>
    <s:col min="98" max="99" width="11" style="4" customWidth="1"/>
    <s:col min="100" max="100" width="19.887" style="4" customWidth="1"/>
    <s:col min="101" max="101" width="19.664" style="4" bestFit="1" customWidth="1"/>
    <s:col min="102" max="102" width="17.664" style="4" customWidth="1"/>
    <s:col min="103" max="103" width="19.109" customWidth="1"/>
    <s:col min="104" max="104" width="12.664" customWidth="1"/>
    <s:col min="106" max="107" width="10.332" bestFit="1" customWidth="1"/>
  </s:cols>
  <s:sheetData>
    <s:row r="1" ht="29.25">
      <s:c r="A1" s="7" t="s">
        <s:v>91</s:v>
      </s:c>
      <s:c r="B1" s="66" t="s">
        <s:v>27</s:v>
      </s:c>
      <s:c r="C1" s="211"/>
      <s:c r="D1" s="123" t="s">
        <s:v>53</s:v>
      </s:c>
      <s:c r="E1" s="6"/>
      <s:c r="F1" s="57"/>
      <s:c r="G1" s="123" t="s">
        <s:v>54</s:v>
      </s:c>
      <s:c r="H1" s="57"/>
      <s:c r="I1" s="57"/>
      <s:c r="J1" s="123" t="s">
        <s:v>55</s:v>
      </s:c>
      <s:c r="K1" s="57"/>
      <s:c r="L1" s="57"/>
      <s:c r="M1" s="57"/>
      <s:c r="N1" s="57"/>
      <s:c r="O1" s="57"/>
      <s:c r="P1" s="57"/>
      <s:c r="Q1" s="57"/>
      <s:c r="R1" s="57"/>
      <s:c r="S1" s="57"/>
      <s:c r="T1" s="57"/>
      <s:c r="U1" s="57"/>
      <s:c r="V1" s="57"/>
      <s:c r="W1" s="57"/>
      <s:c r="X1" s="57"/>
      <s:c r="Y1" s="57"/>
      <s:c r="Z1" s="57"/>
      <s:c r="AA1" s="57"/>
      <s:c r="AB1" s="57"/>
      <s:c r="AC1" s="57"/>
      <s:c r="AD1" s="57"/>
      <s:c r="AE1" s="57"/>
      <s:c r="AF1" s="57"/>
      <s:c r="AG1" s="58"/>
      <s:c r="AH1" s="58"/>
      <s:c r="AI1" s="58"/>
      <s:c r="AJ1" s="57"/>
      <s:c r="AK1" s="57"/>
      <s:c r="AL1" s="57"/>
      <s:c r="AM1" s="57"/>
      <s:c r="AN1" s="57"/>
      <s:c r="AO1" s="57"/>
      <s:c r="AP1" s="57"/>
      <s:c r="AQ1" s="57"/>
      <s:c r="AR1" s="57"/>
      <s:c r="AS1" s="57" t="s">
        <s:v>1</s:v>
      </s:c>
      <s:c r="AT1" s="57"/>
      <s:c r="AU1" s="57"/>
      <s:c r="AV1" s="57"/>
      <s:c r="AW1" s="57"/>
      <s:c r="AX1" s="57"/>
      <s:c r="AY1" s="164">
        <s:v>46082</s:v>
      </s:c>
      <s:c r="AZ1" s="164"/>
      <s:c r="BA1" s="164"/>
      <s:c r="BB1" s="164"/>
      <s:c r="BC1" s="164"/>
      <s:c r="BD1" s="164"/>
      <s:c r="BE1" s="164"/>
      <s:c r="BF1" s="164"/>
      <s:c r="BG1" s="164"/>
      <s:c r="BH1" s="164"/>
      <s:c r="BI1" s="59"/>
      <s:c r="BJ1" s="59"/>
      <s:c r="BK1" s="57"/>
      <s:c r="BL1" s="57"/>
      <s:c r="BM1" s="57"/>
      <s:c r="BN1" s="57"/>
      <s:c r="BO1" s="57"/>
      <s:c r="BP1" s="57"/>
      <s:c r="BQ1" s="57"/>
      <s:c r="BR1" s="57"/>
      <s:c r="BS1" s="57"/>
      <s:c r="BT1" s="57"/>
      <s:c r="BU1" s="57"/>
      <s:c r="BV1" s="57"/>
      <s:c r="BW1" s="57"/>
      <s:c r="BX1" s="57"/>
      <s:c r="BY1" s="57"/>
      <s:c r="BZ1" s="57"/>
      <s:c r="CA1" s="57"/>
      <s:c r="CB1" s="57"/>
      <s:c r="CC1" s="57"/>
      <s:c r="CD1" s="57"/>
      <s:c r="CE1" s="57"/>
      <s:c r="CF1" s="57"/>
      <s:c r="CG1" s="57"/>
      <s:c r="CH1" s="57"/>
      <s:c r="CI1" s="57"/>
      <s:c r="CJ1" s="57"/>
      <s:c r="CK1" s="57"/>
      <s:c r="CL1" s="57"/>
      <s:c r="CM1" s="57"/>
      <s:c r="CN1" s="57"/>
      <s:c r="CO1" s="57"/>
      <s:c r="CP1" s="57"/>
      <s:c r="CQ1" s="57"/>
      <s:c r="CR1" s="57"/>
      <s:c r="CS1" s="57"/>
      <s:c r="CT1" s="57"/>
      <s:c r="CU1" s="57"/>
      <s:c r="CV1" s="60"/>
      <s:c r="CW1" s="61"/>
      <s:c r="CX1" s="61"/>
    </s:row>
    <s:row r="2" ht="79.5">
      <s:c r="A2" s="23"/>
      <s:c r="B2" s="8" t="s">
        <s:v>4</s:v>
      </s:c>
      <s:c r="C2" s="126" t="s">
        <s:v>9</s:v>
      </s:c>
      <s:c r="D2" s="165">
        <s:f>IF(AY1&lt;&gt;0,AY1,"")</s:f>
        <s:v>46082</s:v>
      </s:c>
      <s:c r="E2" s="166"/>
      <s:c r="F2" s="167"/>
      <s:c r="G2" s="168">
        <s:f>IF(D2="","",D2+1)</s:f>
        <s:v>46083</s:v>
      </s:c>
      <s:c r="H2" s="166"/>
      <s:c r="I2" s="169"/>
      <s:c r="J2" s="165">
        <s:f>IF(G2="","",G2+1)</s:f>
        <s:v>46084</s:v>
      </s:c>
      <s:c r="K2" s="166"/>
      <s:c r="L2" s="167"/>
      <s:c r="M2" s="168">
        <s:f>IF(J2="","",J2+1)</s:f>
        <s:v>46085</s:v>
      </s:c>
      <s:c r="N2" s="166"/>
      <s:c r="O2" s="169"/>
      <s:c r="P2" s="165">
        <s:f>IF(M2="","",M2+1)</s:f>
        <s:v>46086</s:v>
      </s:c>
      <s:c r="Q2" s="166"/>
      <s:c r="R2" s="167"/>
      <s:c r="S2" s="168">
        <s:f>IF(P2="","",P2+1)</s:f>
        <s:v>46087</s:v>
      </s:c>
      <s:c r="T2" s="166"/>
      <s:c r="U2" s="169"/>
      <s:c r="V2" s="165">
        <s:f>IF(S2="","",S2+1)</s:f>
        <s:v>46088</s:v>
      </s:c>
      <s:c r="W2" s="166"/>
      <s:c r="X2" s="167"/>
      <s:c r="Y2" s="168">
        <s:f>IF(V2="","",V2+1)</s:f>
        <s:v>46089</s:v>
      </s:c>
      <s:c r="Z2" s="166"/>
      <s:c r="AA2" s="169"/>
      <s:c r="AB2" s="165">
        <s:f>IF(Y2="","",Y2+1)</s:f>
        <s:v>46090</s:v>
      </s:c>
      <s:c r="AC2" s="166"/>
      <s:c r="AD2" s="167"/>
      <s:c r="AE2" s="168">
        <s:f>IF(AB2="","",AB2+1)</s:f>
        <s:v>46091</s:v>
      </s:c>
      <s:c r="AF2" s="166"/>
      <s:c r="AG2" s="169"/>
      <s:c r="AH2" s="165">
        <s:f>IF(AE2="","",AE2+1)</s:f>
        <s:v>46092</s:v>
      </s:c>
      <s:c r="AI2" s="166"/>
      <s:c r="AJ2" s="167"/>
      <s:c r="AK2" s="168">
        <s:f>IF(AH2="","",AH2+1)</s:f>
        <s:v>46093</s:v>
      </s:c>
      <s:c r="AL2" s="166"/>
      <s:c r="AM2" s="169"/>
      <s:c r="AN2" s="165">
        <s:f>IF(AK2="","",AK2+1)</s:f>
        <s:v>46094</s:v>
      </s:c>
      <s:c r="AO2" s="166"/>
      <s:c r="AP2" s="167"/>
      <s:c r="AQ2" s="168">
        <s:f>IF(AN2="","",AN2+1)</s:f>
        <s:v>46095</s:v>
      </s:c>
      <s:c r="AR2" s="166"/>
      <s:c r="AS2" s="169"/>
      <s:c r="AT2" s="165">
        <s:f>IF(AQ2="","",AQ2+1)</s:f>
        <s:v>46096</s:v>
      </s:c>
      <s:c r="AU2" s="166"/>
      <s:c r="AV2" s="167"/>
      <s:c r="AW2" s="168">
        <s:f>IF(AT2="","",AT2+1)</s:f>
        <s:v>46097</s:v>
      </s:c>
      <s:c r="AX2" s="166"/>
      <s:c r="AY2" s="169"/>
      <s:c r="AZ2" s="165">
        <s:f>IF(AW2="","",AW2+1)</s:f>
        <s:v>46098</s:v>
      </s:c>
      <s:c r="BA2" s="166"/>
      <s:c r="BB2" s="167"/>
      <s:c r="BC2" s="168">
        <s:f>IF(AZ2="","",AZ2+1)</s:f>
        <s:v>46099</s:v>
      </s:c>
      <s:c r="BD2" s="166"/>
      <s:c r="BE2" s="169"/>
      <s:c r="BF2" s="165">
        <s:f>IF(BC2="","",BC2+1)</s:f>
        <s:v>46100</s:v>
      </s:c>
      <s:c r="BG2" s="166"/>
      <s:c r="BH2" s="167"/>
      <s:c r="BI2" s="168">
        <s:f>IF(BF2="","",BF2+1)</s:f>
        <s:v>46101</s:v>
      </s:c>
      <s:c r="BJ2" s="166"/>
      <s:c r="BK2" s="169"/>
      <s:c r="BL2" s="165">
        <s:f>IF(BI2="","",BI2+1)</s:f>
        <s:v>46102</s:v>
      </s:c>
      <s:c r="BM2" s="166"/>
      <s:c r="BN2" s="167"/>
      <s:c r="BO2" s="168">
        <s:f>IF(BL2="","",BL2+1)</s:f>
        <s:v>46103</s:v>
      </s:c>
      <s:c r="BP2" s="166"/>
      <s:c r="BQ2" s="169"/>
      <s:c r="BR2" s="165">
        <s:f>IF(BO2="","",BO2+1)</s:f>
        <s:v>46104</s:v>
      </s:c>
      <s:c r="BS2" s="166"/>
      <s:c r="BT2" s="167"/>
      <s:c r="BU2" s="168">
        <s:f>IF(BR2="","",BR2+1)</s:f>
        <s:v>46105</s:v>
      </s:c>
      <s:c r="BV2" s="166"/>
      <s:c r="BW2" s="169"/>
      <s:c r="BX2" s="165">
        <s:f>IF(BU2="","",BU2+1)</s:f>
        <s:v>46106</s:v>
      </s:c>
      <s:c r="BY2" s="166"/>
      <s:c r="BZ2" s="167"/>
      <s:c r="CA2" s="168">
        <s:f>IF(BX2="","",BX2+1)</s:f>
        <s:v>46107</s:v>
      </s:c>
      <s:c r="CB2" s="166"/>
      <s:c r="CC2" s="169"/>
      <s:c r="CD2" s="165">
        <s:f>IF(CA2="","",CA2+1)</s:f>
        <s:v>46108</s:v>
      </s:c>
      <s:c r="CE2" s="166"/>
      <s:c r="CF2" s="167"/>
      <s:c r="CG2" s="168">
        <s:f>IF(CD2="","",IF(CD2+1&gt;EOMONTH($AY$1,0),"",CD2+1))</s:f>
        <s:v>46109</s:v>
      </s:c>
      <s:c r="CH2" s="166"/>
      <s:c r="CI2" s="169"/>
      <s:c r="CJ2" s="165">
        <s:f>IF(CG2="","",IF(CG2+1&gt;EOMONTH($AY$1,0),"",CG2+1))</s:f>
        <s:v>46110</s:v>
      </s:c>
      <s:c r="CK2" s="166"/>
      <s:c r="CL2" s="167"/>
      <s:c r="CM2" s="168">
        <s:f>IF(CJ2="","",IF(CJ2+1&gt;EOMONTH($AY$1,0),"",CJ2+1))</s:f>
        <s:v>46111</s:v>
      </s:c>
      <s:c r="CN2" s="166"/>
      <s:c r="CO2" s="169"/>
      <s:c r="CP2" s="165">
        <s:f>IF(CM2="","",IF(CM2+1&gt;EOMONTH($AY$1,0),"",CM2+1))</s:f>
        <s:v>46112</s:v>
      </s:c>
      <s:c r="CQ2" s="166"/>
      <s:c r="CR2" s="167"/>
      <s:c r="CS2" s="9" t="s">
        <s:v>23</s:v>
      </s:c>
      <s:c r="CT2" s="10" t="s">
        <s:v>24</s:v>
      </s:c>
      <s:c r="CU2" s="10" t="s">
        <s:v>25</s:v>
      </s:c>
      <s:c r="CV2" s="11" t="s">
        <s:v>3</s:v>
      </s:c>
      <s:c r="CW2" s="12" t="s">
        <s:v>85</s:v>
      </s:c>
      <s:c r="CX2" s="13" t="s">
        <s:v>86</s:v>
      </s:c>
      <s:c r="CY2" s="13" t="s">
        <s:v>29</s:v>
      </s:c>
    </s:row>
    <s:row r="3" ht="21.75">
      <s:c r="A3" s="23"/>
      <s:c r="B3" s="15" t="s">
        <s:v>8</s:v>
      </s:c>
      <s:c r="C3" s="127" t="s">
        <s:v>60</s:v>
      </s:c>
      <s:c r="D3" s="16" t="s">
        <s:v>10</s:v>
      </s:c>
      <s:c r="E3" s="15" t="s">
        <s:v>11</s:v>
      </s:c>
      <s:c r="F3" s="17" t="s">
        <s:v>12</s:v>
      </s:c>
      <s:c r="G3" s="14" t="s">
        <s:v>10</s:v>
      </s:c>
      <s:c r="H3" s="15" t="s">
        <s:v>11</s:v>
      </s:c>
      <s:c r="I3" s="78" t="s">
        <s:v>12</s:v>
      </s:c>
      <s:c r="J3" s="16" t="s">
        <s:v>10</s:v>
      </s:c>
      <s:c r="K3" s="15" t="s">
        <s:v>11</s:v>
      </s:c>
      <s:c r="L3" s="17" t="s">
        <s:v>12</s:v>
      </s:c>
      <s:c r="M3" s="14" t="s">
        <s:v>10</s:v>
      </s:c>
      <s:c r="N3" s="15" t="s">
        <s:v>11</s:v>
      </s:c>
      <s:c r="O3" s="78" t="s">
        <s:v>12</s:v>
      </s:c>
      <s:c r="P3" s="16" t="s">
        <s:v>10</s:v>
      </s:c>
      <s:c r="Q3" s="15" t="s">
        <s:v>11</s:v>
      </s:c>
      <s:c r="R3" s="17" t="s">
        <s:v>12</s:v>
      </s:c>
      <s:c r="S3" s="14" t="s">
        <s:v>10</s:v>
      </s:c>
      <s:c r="T3" s="15" t="s">
        <s:v>11</s:v>
      </s:c>
      <s:c r="U3" s="78" t="s">
        <s:v>12</s:v>
      </s:c>
      <s:c r="V3" s="16" t="s">
        <s:v>10</s:v>
      </s:c>
      <s:c r="W3" s="15" t="s">
        <s:v>11</s:v>
      </s:c>
      <s:c r="X3" s="17" t="s">
        <s:v>12</s:v>
      </s:c>
      <s:c r="Y3" s="14" t="s">
        <s:v>10</s:v>
      </s:c>
      <s:c r="Z3" s="15" t="s">
        <s:v>11</s:v>
      </s:c>
      <s:c r="AA3" s="78" t="s">
        <s:v>12</s:v>
      </s:c>
      <s:c r="AB3" s="16" t="s">
        <s:v>10</s:v>
      </s:c>
      <s:c r="AC3" s="15" t="s">
        <s:v>11</s:v>
      </s:c>
      <s:c r="AD3" s="17" t="s">
        <s:v>12</s:v>
      </s:c>
      <s:c r="AE3" s="14" t="s">
        <s:v>10</s:v>
      </s:c>
      <s:c r="AF3" s="15" t="s">
        <s:v>11</s:v>
      </s:c>
      <s:c r="AG3" s="78" t="s">
        <s:v>12</s:v>
      </s:c>
      <s:c r="AH3" s="16" t="s">
        <s:v>10</s:v>
      </s:c>
      <s:c r="AI3" s="15" t="s">
        <s:v>11</s:v>
      </s:c>
      <s:c r="AJ3" s="17" t="s">
        <s:v>12</s:v>
      </s:c>
      <s:c r="AK3" s="14" t="s">
        <s:v>10</s:v>
      </s:c>
      <s:c r="AL3" s="15" t="s">
        <s:v>11</s:v>
      </s:c>
      <s:c r="AM3" s="78" t="s">
        <s:v>12</s:v>
      </s:c>
      <s:c r="AN3" s="16" t="s">
        <s:v>10</s:v>
      </s:c>
      <s:c r="AO3" s="15" t="s">
        <s:v>11</s:v>
      </s:c>
      <s:c r="AP3" s="17" t="s">
        <s:v>12</s:v>
      </s:c>
      <s:c r="AQ3" s="14" t="s">
        <s:v>10</s:v>
      </s:c>
      <s:c r="AR3" s="15" t="s">
        <s:v>11</s:v>
      </s:c>
      <s:c r="AS3" s="78" t="s">
        <s:v>12</s:v>
      </s:c>
      <s:c r="AT3" s="16" t="s">
        <s:v>10</s:v>
      </s:c>
      <s:c r="AU3" s="15" t="s">
        <s:v>11</s:v>
      </s:c>
      <s:c r="AV3" s="17" t="s">
        <s:v>12</s:v>
      </s:c>
      <s:c r="AW3" s="14" t="s">
        <s:v>10</s:v>
      </s:c>
      <s:c r="AX3" s="15" t="s">
        <s:v>11</s:v>
      </s:c>
      <s:c r="AY3" s="78" t="s">
        <s:v>12</s:v>
      </s:c>
      <s:c r="AZ3" s="16" t="s">
        <s:v>10</s:v>
      </s:c>
      <s:c r="BA3" s="15" t="s">
        <s:v>11</s:v>
      </s:c>
      <s:c r="BB3" s="17" t="s">
        <s:v>12</s:v>
      </s:c>
      <s:c r="BC3" s="14" t="s">
        <s:v>10</s:v>
      </s:c>
      <s:c r="BD3" s="15" t="s">
        <s:v>11</s:v>
      </s:c>
      <s:c r="BE3" s="78" t="s">
        <s:v>12</s:v>
      </s:c>
      <s:c r="BF3" s="16" t="s">
        <s:v>10</s:v>
      </s:c>
      <s:c r="BG3" s="15" t="s">
        <s:v>11</s:v>
      </s:c>
      <s:c r="BH3" s="17" t="s">
        <s:v>12</s:v>
      </s:c>
      <s:c r="BI3" s="14" t="s">
        <s:v>10</s:v>
      </s:c>
      <s:c r="BJ3" s="15" t="s">
        <s:v>11</s:v>
      </s:c>
      <s:c r="BK3" s="78" t="s">
        <s:v>12</s:v>
      </s:c>
      <s:c r="BL3" s="16" t="s">
        <s:v>10</s:v>
      </s:c>
      <s:c r="BM3" s="15" t="s">
        <s:v>11</s:v>
      </s:c>
      <s:c r="BN3" s="17" t="s">
        <s:v>12</s:v>
      </s:c>
      <s:c r="BO3" s="14" t="s">
        <s:v>10</s:v>
      </s:c>
      <s:c r="BP3" s="15" t="s">
        <s:v>11</s:v>
      </s:c>
      <s:c r="BQ3" s="78" t="s">
        <s:v>12</s:v>
      </s:c>
      <s:c r="BR3" s="16" t="s">
        <s:v>10</s:v>
      </s:c>
      <s:c r="BS3" s="15" t="s">
        <s:v>11</s:v>
      </s:c>
      <s:c r="BT3" s="17" t="s">
        <s:v>12</s:v>
      </s:c>
      <s:c r="BU3" s="14" t="s">
        <s:v>10</s:v>
      </s:c>
      <s:c r="BV3" s="15" t="s">
        <s:v>11</s:v>
      </s:c>
      <s:c r="BW3" s="78" t="s">
        <s:v>12</s:v>
      </s:c>
      <s:c r="BX3" s="16" t="s">
        <s:v>10</s:v>
      </s:c>
      <s:c r="BY3" s="15" t="s">
        <s:v>11</s:v>
      </s:c>
      <s:c r="BZ3" s="17" t="s">
        <s:v>12</s:v>
      </s:c>
      <s:c r="CA3" s="14" t="s">
        <s:v>10</s:v>
      </s:c>
      <s:c r="CB3" s="15" t="s">
        <s:v>11</s:v>
      </s:c>
      <s:c r="CC3" s="78" t="s">
        <s:v>12</s:v>
      </s:c>
      <s:c r="CD3" s="16" t="s">
        <s:v>10</s:v>
      </s:c>
      <s:c r="CE3" s="15" t="s">
        <s:v>11</s:v>
      </s:c>
      <s:c r="CF3" s="17" t="s">
        <s:v>12</s:v>
      </s:c>
      <s:c r="CG3" s="14" t="s">
        <s:v>10</s:v>
      </s:c>
      <s:c r="CH3" s="15" t="s">
        <s:v>11</s:v>
      </s:c>
      <s:c r="CI3" s="78" t="s">
        <s:v>12</s:v>
      </s:c>
      <s:c r="CJ3" s="16" t="s">
        <s:v>10</s:v>
      </s:c>
      <s:c r="CK3" s="15" t="s">
        <s:v>11</s:v>
      </s:c>
      <s:c r="CL3" s="17" t="s">
        <s:v>12</s:v>
      </s:c>
      <s:c r="CM3" s="14" t="s">
        <s:v>10</s:v>
      </s:c>
      <s:c r="CN3" s="15" t="s">
        <s:v>11</s:v>
      </s:c>
      <s:c r="CO3" s="78" t="s">
        <s:v>12</s:v>
      </s:c>
      <s:c r="CP3" s="16" t="s">
        <s:v>10</s:v>
      </s:c>
      <s:c r="CQ3" s="15" t="s">
        <s:v>11</s:v>
      </s:c>
      <s:c r="CR3" s="17" t="s">
        <s:v>12</s:v>
      </s:c>
      <s:c r="CS3" s="18" t="s">
        <s:v>10</s:v>
      </s:c>
      <s:c r="CT3" s="19" t="s">
        <s:v>11</s:v>
      </s:c>
      <s:c r="CU3" s="19" t="s">
        <s:v>12</s:v>
      </s:c>
      <s:c r="CV3" s="20"/>
      <s:c r="CW3" s="21"/>
      <s:c r="CX3" s="22"/>
      <s:c r="CY3" s="22"/>
    </s:row>
    <s:row r="4" ht="21.75">
      <s:c r="A4" s="23"/>
      <s:c r="B4" s="24" t="s">
        <s:v>101</s:v>
      </s:c>
      <s:c r="C4" s="25" t="s">
        <s:v>18</s:v>
      </s:c>
      <s:c r="D4" s="49">
        <s:v>14</s:v>
      </s:c>
      <s:c r="E4" s="50"/>
      <s:c r="F4" s="74"/>
      <s:c r="G4" s="79"/>
      <s:c r="H4" s="26"/>
      <s:c r="I4" s="80"/>
      <s:c r="J4" s="76"/>
      <s:c r="K4" s="26"/>
      <s:c r="L4" s="27"/>
      <s:c r="M4" s="79"/>
      <s:c r="N4" s="26"/>
      <s:c r="O4" s="80"/>
      <s:c r="P4" s="76"/>
      <s:c r="Q4" s="26"/>
      <s:c r="R4" s="27"/>
      <s:c r="S4" s="79"/>
      <s:c r="T4" s="26"/>
      <s:c r="U4" s="80"/>
      <s:c r="V4" s="76"/>
      <s:c r="W4" s="26"/>
      <s:c r="X4" s="27"/>
      <s:c r="Y4" s="79"/>
      <s:c r="Z4" s="26"/>
      <s:c r="AA4" s="80"/>
      <s:c r="AB4" s="76"/>
      <s:c r="AC4" s="26"/>
      <s:c r="AD4" s="27"/>
      <s:c r="AE4" s="79"/>
      <s:c r="AF4" s="26"/>
      <s:c r="AG4" s="80"/>
      <s:c r="AH4" s="76"/>
      <s:c r="AI4" s="26"/>
      <s:c r="AJ4" s="27"/>
      <s:c r="AK4" s="79"/>
      <s:c r="AL4" s="26"/>
      <s:c r="AM4" s="80"/>
      <s:c r="AN4" s="76"/>
      <s:c r="AO4" s="26"/>
      <s:c r="AP4" s="27"/>
      <s:c r="AQ4" s="79"/>
      <s:c r="AR4" s="26"/>
      <s:c r="AS4" s="80"/>
      <s:c r="AT4" s="76"/>
      <s:c r="AU4" s="26"/>
      <s:c r="AV4" s="27"/>
      <s:c r="AW4" s="79"/>
      <s:c r="AX4" s="26"/>
      <s:c r="AY4" s="80"/>
      <s:c r="AZ4" s="76"/>
      <s:c r="BA4" s="26"/>
      <s:c r="BB4" s="27"/>
      <s:c r="BC4" s="79"/>
      <s:c r="BD4" s="26"/>
      <s:c r="BE4" s="80"/>
      <s:c r="BF4" s="76"/>
      <s:c r="BG4" s="26"/>
      <s:c r="BH4" s="27"/>
      <s:c r="BI4" s="79"/>
      <s:c r="BJ4" s="26"/>
      <s:c r="BK4" s="80"/>
      <s:c r="BL4" s="76"/>
      <s:c r="BM4" s="26"/>
      <s:c r="BN4" s="27"/>
      <s:c r="BO4" s="79"/>
      <s:c r="BP4" s="26"/>
      <s:c r="BQ4" s="80"/>
      <s:c r="BR4" s="76"/>
      <s:c r="BS4" s="26"/>
      <s:c r="BT4" s="27"/>
      <s:c r="BU4" s="79"/>
      <s:c r="BV4" s="26"/>
      <s:c r="BW4" s="80"/>
      <s:c r="BX4" s="76"/>
      <s:c r="BY4" s="26"/>
      <s:c r="BZ4" s="184"/>
      <s:c r="CA4" s="180"/>
      <s:c r="CB4" s="26"/>
      <s:c r="CC4" s="182"/>
      <s:c r="CD4" s="183"/>
      <s:c r="CE4" s="26"/>
      <s:c r="CF4" s="184"/>
      <s:c r="CG4" s="180"/>
      <s:c r="CH4" s="26"/>
      <s:c r="CI4" s="182"/>
      <s:c r="CJ4" s="76"/>
      <s:c r="CK4" s="26"/>
      <s:c r="CL4" s="27"/>
      <s:c r="CM4" s="79"/>
      <s:c r="CN4" s="26"/>
      <s:c r="CO4" s="80"/>
      <s:c r="CP4" s="76"/>
      <s:c r="CQ4" s="26"/>
      <s:c r="CR4" s="27"/>
      <s:c r="CS4" s="62">
        <s:f>SUMIFS(D4:CR4,$D$3:$CR$3,"З")</s:f>
        <s:v>14</s:v>
      </s:c>
      <s:c r="CT4" s="63">
        <s:f>SUMIFS(D4:CR4,$D$3:$CR$3,"О")</s:f>
        <s:v>0</s:v>
      </s:c>
      <s:c r="CU4" s="63">
        <s:f>SUMIFS(D4:CR4,$D$3:$CR$3,"У")</s:f>
        <s:v>0</s:v>
      </s:c>
      <s:c r="CV4" s="28">
        <s:f>IF(C4="Да",CS4*$D$62+CT4*$D$63+CU4*$D$64,CS4*$C$62+CT4*$C$63+CU4*$C$64)</s:f>
        <s:v>11200</s:v>
      </s:c>
      <s:c r="CW4" s="29">
        <s:f>IF(C4="Нет",CV4,"")</s:f>
        <s:v>11200</s:v>
      </s:c>
      <s:c r="CX4" s="30" t="str">
        <s:f>IF(C4="Да",CV4,"")</s:f>
        <s:v/>
      </s:c>
      <s:c r="CY4" s="30" t="str">
        <s:f>IF(C4="Налич",CV4,"")</s:f>
        <s:v/>
      </s:c>
    </s:row>
    <s:row r="5" ht="21.75">
      <s:c r="A5" s="23"/>
      <s:c r="B5" s="31" t="s">
        <s:v>102</s:v>
      </s:c>
      <s:c r="C5" s="32" t="s">
        <s:v>28</s:v>
      </s:c>
      <s:c r="D5" s="51">
        <s:v>13</s:v>
      </s:c>
      <s:c r="E5" s="52"/>
      <s:c r="F5" s="74"/>
      <s:c r="G5" s="79"/>
      <s:c r="H5" s="26"/>
      <s:c r="I5" s="80"/>
      <s:c r="J5" s="76"/>
      <s:c r="K5" s="26"/>
      <s:c r="L5" s="27"/>
      <s:c r="M5" s="79"/>
      <s:c r="N5" s="26"/>
      <s:c r="O5" s="80"/>
      <s:c r="P5" s="76"/>
      <s:c r="Q5" s="26"/>
      <s:c r="R5" s="27"/>
      <s:c r="S5" s="79"/>
      <s:c r="T5" s="26"/>
      <s:c r="U5" s="80"/>
      <s:c r="V5" s="76"/>
      <s:c r="W5" s="26"/>
      <s:c r="X5" s="27"/>
      <s:c r="Y5" s="79"/>
      <s:c r="Z5" s="26"/>
      <s:c r="AA5" s="80"/>
      <s:c r="AB5" s="76"/>
      <s:c r="AC5" s="26"/>
      <s:c r="AD5" s="27"/>
      <s:c r="AE5" s="79"/>
      <s:c r="AF5" s="26"/>
      <s:c r="AG5" s="80"/>
      <s:c r="AH5" s="76"/>
      <s:c r="AI5" s="26"/>
      <s:c r="AJ5" s="27"/>
      <s:c r="AK5" s="79"/>
      <s:c r="AL5" s="26"/>
      <s:c r="AM5" s="80"/>
      <s:c r="AN5" s="76"/>
      <s:c r="AO5" s="26"/>
      <s:c r="AP5" s="27"/>
      <s:c r="AQ5" s="79"/>
      <s:c r="AR5" s="26"/>
      <s:c r="AS5" s="80"/>
      <s:c r="AT5" s="76"/>
      <s:c r="AU5" s="26"/>
      <s:c r="AV5" s="27"/>
      <s:c r="AW5" s="79"/>
      <s:c r="AX5" s="26"/>
      <s:c r="AY5" s="80"/>
      <s:c r="AZ5" s="76"/>
      <s:c r="BA5" s="26"/>
      <s:c r="BB5" s="27"/>
      <s:c r="BC5" s="79"/>
      <s:c r="BD5" s="26"/>
      <s:c r="BE5" s="80"/>
      <s:c r="BF5" s="76"/>
      <s:c r="BG5" s="26"/>
      <s:c r="BH5" s="27"/>
      <s:c r="BI5" s="79"/>
      <s:c r="BJ5" s="26"/>
      <s:c r="BK5" s="80"/>
      <s:c r="BL5" s="76"/>
      <s:c r="BM5" s="26"/>
      <s:c r="BN5" s="27"/>
      <s:c r="BO5" s="79"/>
      <s:c r="BP5" s="26"/>
      <s:c r="BQ5" s="80"/>
      <s:c r="BR5" s="76"/>
      <s:c r="BS5" s="26"/>
      <s:c r="BT5" s="27"/>
      <s:c r="BU5" s="79"/>
      <s:c r="BV5" s="26"/>
      <s:c r="BW5" s="182"/>
      <s:c r="BX5" s="183"/>
      <s:c r="BY5" s="26"/>
      <s:c r="BZ5" s="184"/>
      <s:c r="CA5" s="180"/>
      <s:c r="CB5" s="26"/>
      <s:c r="CC5" s="182"/>
      <s:c r="CD5" s="183"/>
      <s:c r="CE5" s="26"/>
      <s:c r="CF5" s="184"/>
      <s:c r="CG5" s="180"/>
      <s:c r="CH5" s="26"/>
      <s:c r="CI5" s="182"/>
      <s:c r="CJ5" s="76"/>
      <s:c r="CK5" s="26"/>
      <s:c r="CL5" s="27"/>
      <s:c r="CM5" s="79"/>
      <s:c r="CN5" s="26"/>
      <s:c r="CO5" s="80"/>
      <s:c r="CP5" s="76"/>
      <s:c r="CQ5" s="26"/>
      <s:c r="CR5" s="27"/>
      <s:c r="CS5" s="62">
        <s:f>SUMIFS(D5:CR5,$D$3:$CR$3,"З")</s:f>
        <s:v>13</s:v>
      </s:c>
      <s:c r="CT5" s="63">
        <s:f>SUMIFS(D5:CR5,$D$3:$CR$3,"О")</s:f>
        <s:v>0</s:v>
      </s:c>
      <s:c r="CU5" s="63">
        <s:f>SUMIFS(D5:CR5,$D$3:$CR$3,"У")</s:f>
        <s:v>0</s:v>
      </s:c>
      <s:c r="CV5" s="28">
        <s:f>IF(C5="Да",CS5*$D$62+CT5*$D$63+CU5*$D$64,CS5*$C$62+CT5*$C$63+CU5*$C$64)</s:f>
        <s:v>10400</s:v>
      </s:c>
      <s:c r="CW5" s="29" t="str">
        <s:f>IF(C5="Нет",CV5,"")</s:f>
        <s:v/>
      </s:c>
      <s:c r="CX5" s="30" t="str">
        <s:f>IF(C5="Да",CV5,"")</s:f>
        <s:v/>
      </s:c>
      <s:c r="CY5" s="30">
        <s:f>IF(C5="Налич",CV5,"")</s:f>
        <s:v>10400</s:v>
      </s:c>
    </s:row>
    <s:row r="6" ht="21.75">
      <s:c r="A6" s="37"/>
      <s:c r="B6" s="24" t="s">
        <s:v>103</s:v>
      </s:c>
      <s:c r="C6" s="25" t="s">
        <s:v>18</s:v>
      </s:c>
      <s:c r="D6" s="49">
        <s:v>14</s:v>
      </s:c>
      <s:c r="E6" s="50"/>
      <s:c r="F6" s="74"/>
      <s:c r="G6" s="79"/>
      <s:c r="H6" s="26"/>
      <s:c r="I6" s="80"/>
      <s:c r="J6" s="76"/>
      <s:c r="K6" s="26"/>
      <s:c r="L6" s="27"/>
      <s:c r="M6" s="79"/>
      <s:c r="N6" s="26"/>
      <s:c r="O6" s="80"/>
      <s:c r="P6" s="76"/>
      <s:c r="Q6" s="26"/>
      <s:c r="R6" s="27"/>
      <s:c r="S6" s="79"/>
      <s:c r="T6" s="26"/>
      <s:c r="U6" s="80"/>
      <s:c r="V6" s="76"/>
      <s:c r="W6" s="26"/>
      <s:c r="X6" s="27"/>
      <s:c r="Y6" s="79"/>
      <s:c r="Z6" s="26"/>
      <s:c r="AA6" s="80"/>
      <s:c r="AB6" s="76"/>
      <s:c r="AC6" s="26"/>
      <s:c r="AD6" s="27"/>
      <s:c r="AE6" s="79"/>
      <s:c r="AF6" s="26"/>
      <s:c r="AG6" s="80"/>
      <s:c r="AH6" s="76"/>
      <s:c r="AI6" s="26"/>
      <s:c r="AJ6" s="27"/>
      <s:c r="AK6" s="79"/>
      <s:c r="AL6" s="26"/>
      <s:c r="AM6" s="80"/>
      <s:c r="AN6" s="76"/>
      <s:c r="AO6" s="26"/>
      <s:c r="AP6" s="27"/>
      <s:c r="AQ6" s="79"/>
      <s:c r="AR6" s="26"/>
      <s:c r="AS6" s="117"/>
      <s:c r="AT6" s="118"/>
      <s:c r="AU6" s="119"/>
      <s:c r="AV6" s="120"/>
      <s:c r="AW6" s="121"/>
      <s:c r="AX6" s="119"/>
      <s:c r="AY6" s="117"/>
      <s:c r="AZ6" s="118"/>
      <s:c r="BA6" s="119"/>
      <s:c r="BB6" s="120"/>
      <s:c r="BC6" s="121"/>
      <s:c r="BD6" s="26"/>
      <s:c r="BE6" s="80"/>
      <s:c r="BF6" s="76"/>
      <s:c r="BG6" s="26"/>
      <s:c r="BH6" s="27"/>
      <s:c r="BI6" s="79"/>
      <s:c r="BJ6" s="26"/>
      <s:c r="BK6" s="80"/>
      <s:c r="BL6" s="76"/>
      <s:c r="BM6" s="26"/>
      <s:c r="BN6" s="27"/>
      <s:c r="BO6" s="79"/>
      <s:c r="BP6" s="26"/>
      <s:c r="BQ6" s="80"/>
      <s:c r="BR6" s="76"/>
      <s:c r="BS6" s="26"/>
      <s:c r="BT6" s="27"/>
      <s:c r="BU6" s="79"/>
      <s:c r="BV6" s="26"/>
      <s:c r="BW6" s="182"/>
      <s:c r="BX6" s="183"/>
      <s:c r="BY6" s="181"/>
      <s:c r="BZ6" s="184"/>
      <s:c r="CA6" s="180"/>
      <s:c r="CB6" s="181"/>
      <s:c r="CC6" s="182"/>
      <s:c r="CD6" s="183"/>
      <s:c r="CE6" s="181"/>
      <s:c r="CF6" s="184"/>
      <s:c r="CG6" s="180"/>
      <s:c r="CH6" s="181"/>
      <s:c r="CI6" s="182"/>
      <s:c r="CJ6" s="76"/>
      <s:c r="CK6" s="26"/>
      <s:c r="CL6" s="27"/>
      <s:c r="CM6" s="79"/>
      <s:c r="CN6" s="26"/>
      <s:c r="CO6" s="80"/>
      <s:c r="CP6" s="76"/>
      <s:c r="CQ6" s="26"/>
      <s:c r="CR6" s="27"/>
      <s:c r="CS6" s="62">
        <s:f>SUMIFS(D6:CR6,$D$3:$CR$3,"З")</s:f>
        <s:v>14</s:v>
      </s:c>
      <s:c r="CT6" s="63">
        <s:f>SUMIFS(D6:CR6,$D$3:$CR$3,"О")</s:f>
        <s:v>0</s:v>
      </s:c>
      <s:c r="CU6" s="63">
        <s:f>SUMIFS(D6:CR6,$D$3:$CR$3,"У")</s:f>
        <s:v>0</s:v>
      </s:c>
      <s:c r="CV6" s="28">
        <s:f>IF(C6="Да",CS6*$D$62+CT6*$D$63+CU6*$D$64,CS6*$C$62+CT6*$C$63+CU6*$C$64)</s:f>
        <s:v>11200</s:v>
      </s:c>
      <s:c r="CW6" s="29">
        <s:f>IF(C6="Нет",CV6,"")</s:f>
        <s:v>11200</s:v>
      </s:c>
      <s:c r="CX6" s="30" t="str">
        <s:f>IF(C6="Да",CV6,"")</s:f>
        <s:v/>
      </s:c>
      <s:c r="CY6" s="30" t="str">
        <s:f>IF(C6="Налич",CV6,"")</s:f>
        <s:v/>
      </s:c>
      <s:c r="CZ6" s="122"/>
    </s:row>
    <s:row r="7" ht="21.75">
      <s:c r="A7" s="23"/>
      <s:c r="B7" s="24" t="s">
        <s:v>105</s:v>
      </s:c>
      <s:c r="C7" s="25" t="s">
        <s:v>18</s:v>
      </s:c>
      <s:c r="D7" s="49"/>
      <s:c r="E7" s="50"/>
      <s:c r="F7" s="74"/>
      <s:c r="G7" s="79"/>
      <s:c r="H7" s="26"/>
      <s:c r="I7" s="80"/>
      <s:c r="J7" s="76"/>
      <s:c r="K7" s="26"/>
      <s:c r="L7" s="27"/>
      <s:c r="M7" s="79"/>
      <s:c r="N7" s="26"/>
      <s:c r="O7" s="80"/>
      <s:c r="P7" s="76"/>
      <s:c r="Q7" s="26"/>
      <s:c r="R7" s="27"/>
      <s:c r="S7" s="79"/>
      <s:c r="T7" s="26"/>
      <s:c r="U7" s="80"/>
      <s:c r="V7" s="76"/>
      <s:c r="W7" s="26"/>
      <s:c r="X7" s="27"/>
      <s:c r="Y7" s="79"/>
      <s:c r="Z7" s="26"/>
      <s:c r="AA7" s="80"/>
      <s:c r="AB7" s="76"/>
      <s:c r="AC7" s="26"/>
      <s:c r="AD7" s="27"/>
      <s:c r="AE7" s="79"/>
      <s:c r="AF7" s="26"/>
      <s:c r="AG7" s="80"/>
      <s:c r="AH7" s="76"/>
      <s:c r="AI7" s="26"/>
      <s:c r="AJ7" s="27"/>
      <s:c r="AK7" s="79"/>
      <s:c r="AL7" s="26"/>
      <s:c r="AM7" s="80"/>
      <s:c r="AN7" s="76"/>
      <s:c r="AO7" s="26"/>
      <s:c r="AP7" s="27"/>
      <s:c r="AQ7" s="79"/>
      <s:c r="AR7" s="26"/>
      <s:c r="AS7" s="117"/>
      <s:c r="AT7" s="118"/>
      <s:c r="AU7" s="119"/>
      <s:c r="AV7" s="120"/>
      <s:c r="AW7" s="121"/>
      <s:c r="AX7" s="119"/>
      <s:c r="AY7" s="117"/>
      <s:c r="AZ7" s="118"/>
      <s:c r="BA7" s="26"/>
      <s:c r="BB7" s="184">
        <s:v>3</s:v>
      </s:c>
      <s:c r="BC7" s="180">
        <s:v>3</s:v>
      </s:c>
      <s:c r="BD7" s="26"/>
      <s:c r="BE7" s="182">
        <s:v>3</s:v>
      </s:c>
      <s:c r="BF7" s="183">
        <s:v>3</s:v>
      </s:c>
      <s:c r="BG7" s="26"/>
      <s:c r="BH7" s="184">
        <s:v>3</s:v>
      </s:c>
      <s:c r="BI7" s="180">
        <s:v>3</s:v>
      </s:c>
      <s:c r="BJ7" s="26"/>
      <s:c r="BK7" s="80"/>
      <s:c r="BL7" s="76"/>
      <s:c r="BM7" s="26"/>
      <s:c r="BN7" s="27"/>
      <s:c r="BO7" s="79"/>
      <s:c r="BP7" s="26"/>
      <s:c r="BQ7" s="182">
        <s:v>3</s:v>
      </s:c>
      <s:c r="BR7" s="186">
        <s:v>3</s:v>
      </s:c>
      <s:c r="BS7" s="119"/>
      <s:c r="BT7" s="188">
        <s:v>3</s:v>
      </s:c>
      <s:c r="BU7" s="189">
        <s:v>3</s:v>
      </s:c>
      <s:c r="BV7" s="119"/>
      <s:c r="BW7" s="182">
        <s:v>3</s:v>
      </s:c>
      <s:c r="BX7" s="183">
        <s:v>3</s:v>
      </s:c>
      <s:c r="BY7" s="26"/>
      <s:c r="BZ7" s="184">
        <s:v>3</s:v>
      </s:c>
      <s:c r="CA7" s="180">
        <s:v>3</s:v>
      </s:c>
      <s:c r="CB7" s="26"/>
      <s:c r="CC7" s="182">
        <s:v>3</s:v>
      </s:c>
      <s:c r="CD7" s="183">
        <s:v>3</s:v>
      </s:c>
      <s:c r="CE7" s="26"/>
      <s:c r="CF7" s="27"/>
      <s:c r="CG7" s="79"/>
      <s:c r="CH7" s="26"/>
      <s:c r="CI7" s="80"/>
      <s:c r="CJ7" s="76"/>
      <s:c r="CK7" s="26"/>
      <s:c r="CL7" s="184">
        <s:v>3</s:v>
      </s:c>
      <s:c r="CM7" s="180">
        <s:v>3</s:v>
      </s:c>
      <s:c r="CN7" s="26"/>
      <s:c r="CO7" s="182">
        <s:v>3</s:v>
      </s:c>
      <s:c r="CP7" s="183">
        <s:v>3</s:v>
      </s:c>
      <s:c r="CQ7" s="26"/>
      <s:c r="CR7" s="184">
        <s:v>3</s:v>
      </s:c>
      <s:c r="CS7" s="62">
        <s:f>SUMIFS(D7:CR7,$D$3:$CR$3,"З")</s:f>
        <s:v>30</s:v>
      </s:c>
      <s:c r="CT7" s="63">
        <s:f>SUMIFS(D7:CR7,$D$3:$CR$3,"О")</s:f>
        <s:v>0</s:v>
      </s:c>
      <s:c r="CU7" s="63">
        <s:f>SUMIFS(D7:CR7,$D$3:$CR$3,"У")</s:f>
        <s:v>33</s:v>
      </s:c>
      <s:c r="CV7" s="28">
        <s:f>IF(C7="Да",CS7*$D$62+CT7*$D$63+CU7*$D$64,CS7*$C$62+CT7*$C$63+CU7*$C$64)</s:f>
        <s:v>52050</s:v>
      </s:c>
      <s:c r="CW7" s="29">
        <s:f>IF(C7="Нет",CV7,"")</s:f>
        <s:v>52050</s:v>
      </s:c>
      <s:c r="CX7" s="30" t="str">
        <s:f>IF(C7="Да",CV7,"")</s:f>
        <s:v/>
      </s:c>
      <s:c r="CY7" s="30" t="str">
        <s:f>IF(C7="Налич",CV7,"")</s:f>
        <s:v/>
      </s:c>
      <s:c r="CZ7" s="122"/>
    </s:row>
    <s:row r="8" ht="21.75">
      <s:c r="A8" s="23"/>
      <s:c r="B8" s="24" t="s">
        <s:v>121</s:v>
      </s:c>
      <s:c r="C8" s="25" t="s">
        <s:v>28</s:v>
      </s:c>
      <s:c r="D8" s="49"/>
      <s:c r="E8" s="50"/>
      <s:c r="F8" s="74"/>
      <s:c r="G8" s="79"/>
      <s:c r="H8" s="26"/>
      <s:c r="I8" s="80"/>
      <s:c r="J8" s="76"/>
      <s:c r="K8" s="26"/>
      <s:c r="L8" s="27"/>
      <s:c r="M8" s="79"/>
      <s:c r="N8" s="26"/>
      <s:c r="O8" s="80"/>
      <s:c r="P8" s="76"/>
      <s:c r="Q8" s="26"/>
      <s:c r="R8" s="27"/>
      <s:c r="S8" s="79"/>
      <s:c r="T8" s="26"/>
      <s:c r="U8" s="80"/>
      <s:c r="V8" s="76"/>
      <s:c r="W8" s="26"/>
      <s:c r="X8" s="27"/>
      <s:c r="Y8" s="79"/>
      <s:c r="Z8" s="26"/>
      <s:c r="AA8" s="80"/>
      <s:c r="AB8" s="76"/>
      <s:c r="AC8" s="26"/>
      <s:c r="AD8" s="27"/>
      <s:c r="AE8" s="79"/>
      <s:c r="AF8" s="26"/>
      <s:c r="AG8" s="80"/>
      <s:c r="AH8" s="76"/>
      <s:c r="AI8" s="26"/>
      <s:c r="AJ8" s="27"/>
      <s:c r="AK8" s="79"/>
      <s:c r="AL8" s="26"/>
      <s:c r="AM8" s="80"/>
      <s:c r="AN8" s="76"/>
      <s:c r="AO8" s="26"/>
      <s:c r="AP8" s="27"/>
      <s:c r="AQ8" s="79"/>
      <s:c r="AR8" s="26"/>
      <s:c r="AS8" s="80"/>
      <s:c r="AT8" s="76"/>
      <s:c r="AU8" s="26"/>
      <s:c r="AV8" s="27"/>
      <s:c r="AW8" s="79"/>
      <s:c r="AX8" s="26"/>
      <s:c r="AY8" s="80"/>
      <s:c r="AZ8" s="76"/>
      <s:c r="BA8" s="26"/>
      <s:c r="BB8" s="184"/>
      <s:c r="BC8" s="180"/>
      <s:c r="BD8" s="26"/>
      <s:c r="BE8" s="182"/>
      <s:c r="BF8" s="183"/>
      <s:c r="BG8" s="26"/>
      <s:c r="BH8" s="184"/>
      <s:c r="BI8" s="180"/>
      <s:c r="BJ8" s="26"/>
      <s:c r="BK8" s="80"/>
      <s:c r="BL8" s="76"/>
      <s:c r="BM8" s="26"/>
      <s:c r="BN8" s="27"/>
      <s:c r="BO8" s="79"/>
      <s:c r="BP8" s="26"/>
      <s:c r="BQ8" s="182"/>
      <s:c r="BR8" s="183"/>
      <s:c r="BS8" s="26"/>
      <s:c r="BT8" s="184"/>
      <s:c r="BU8" s="180"/>
      <s:c r="BV8" s="26"/>
      <s:c r="BW8" s="182"/>
      <s:c r="BX8" s="183"/>
      <s:c r="BY8" s="26"/>
      <s:c r="BZ8" s="184">
        <s:v>13</s:v>
      </s:c>
      <s:c r="CA8" s="180">
        <s:v>13</s:v>
      </s:c>
      <s:c r="CB8" s="26"/>
      <s:c r="CC8" s="182">
        <s:v>13</s:v>
      </s:c>
      <s:c r="CD8" s="183">
        <s:v>13</s:v>
      </s:c>
      <s:c r="CE8" s="26"/>
      <s:c r="CF8" s="184">
        <s:v>13</s:v>
      </s:c>
      <s:c r="CG8" s="180">
        <s:v>13</s:v>
      </s:c>
      <s:c r="CH8" s="26"/>
      <s:c r="CI8" s="182">
        <s:v>13</s:v>
      </s:c>
      <s:c r="CJ8" s="183">
        <s:v>13</s:v>
      </s:c>
      <s:c r="CK8" s="26"/>
      <s:c r="CL8" s="184"/>
      <s:c r="CM8" s="180"/>
      <s:c r="CN8" s="26"/>
      <s:c r="CO8" s="182"/>
      <s:c r="CP8" s="183"/>
      <s:c r="CQ8" s="26"/>
      <s:c r="CR8" s="184"/>
      <s:c r="CS8" s="62">
        <s:f>SUMIFS(D8:CR8,$D$3:$CR$3,"З")</s:f>
        <s:v>52</s:v>
      </s:c>
      <s:c r="CT8" s="63">
        <s:f>SUMIFS(D8:CR8,$D$3:$CR$3,"О")</s:f>
        <s:v>0</s:v>
      </s:c>
      <s:c r="CU8" s="63">
        <s:f>SUMIFS(D8:CR8,$D$3:$CR$3,"У")</s:f>
        <s:v>52</s:v>
      </s:c>
      <s:c r="CV8" s="28">
        <s:f>IF(C8="Да",CS8*$D$62+CT8*$D$63+CU8*$D$64,CS8*$C$62+CT8*$C$63+CU8*$C$64)</s:f>
        <s:v>85800</s:v>
      </s:c>
      <s:c r="CW8" s="29" t="str">
        <s:f>IF(C8="Нет",CV8,"")</s:f>
        <s:v/>
      </s:c>
      <s:c r="CX8" s="30" t="str">
        <s:f>IF(C8="Да",CV8,"")</s:f>
        <s:v/>
      </s:c>
      <s:c r="CY8" s="30">
        <s:f>IF(C8="Налич",CV8,"")</s:f>
        <s:v>85800</s:v>
      </s:c>
      <s:c r="CZ8" s="122"/>
    </s:row>
    <s:row r="9" ht="21.75">
      <s:c r="A9" s="37">
        <s:v>109</s:v>
      </s:c>
      <s:c r="B9" s="199" t="s">
        <s:v>120</s:v>
      </s:c>
      <s:c r="C9" s="25" t="s">
        <s:v>28</s:v>
      </s:c>
      <s:c r="D9" s="49"/>
      <s:c r="E9" s="50"/>
      <s:c r="F9" s="74"/>
      <s:c r="G9" s="79"/>
      <s:c r="H9" s="26"/>
      <s:c r="I9" s="80"/>
      <s:c r="J9" s="76"/>
      <s:c r="K9" s="26"/>
      <s:c r="L9" s="27"/>
      <s:c r="M9" s="79"/>
      <s:c r="N9" s="26"/>
      <s:c r="O9" s="182"/>
      <s:c r="P9" s="76"/>
      <s:c r="Q9" s="26"/>
      <s:c r="R9" s="27"/>
      <s:c r="S9" s="79"/>
      <s:c r="T9" s="26"/>
      <s:c r="U9" s="80"/>
      <s:c r="V9" s="76"/>
      <s:c r="W9" s="26"/>
      <s:c r="X9" s="27"/>
      <s:c r="Y9" s="79"/>
      <s:c r="Z9" s="26"/>
      <s:c r="AA9" s="80"/>
      <s:c r="AB9" s="76"/>
      <s:c r="AC9" s="26"/>
      <s:c r="AD9" s="27"/>
      <s:c r="AE9" s="79"/>
      <s:c r="AF9" s="26"/>
      <s:c r="AG9" s="80"/>
      <s:c r="AH9" s="76"/>
      <s:c r="AI9" s="26"/>
      <s:c r="AJ9" s="27"/>
      <s:c r="AK9" s="79"/>
      <s:c r="AL9" s="26"/>
      <s:c r="AM9" s="80"/>
      <s:c r="AN9" s="76"/>
      <s:c r="AO9" s="26"/>
      <s:c r="AP9" s="27"/>
      <s:c r="AQ9" s="79"/>
      <s:c r="AR9" s="26"/>
      <s:c r="AS9" s="80"/>
      <s:c r="AT9" s="76"/>
      <s:c r="AU9" s="26"/>
      <s:c r="AV9" s="27"/>
      <s:c r="AW9" s="79"/>
      <s:c r="AX9" s="26"/>
      <s:c r="AY9" s="80"/>
      <s:c r="AZ9" s="76"/>
      <s:c r="BA9" s="26"/>
      <s:c r="BB9" s="27"/>
      <s:c r="BC9" s="79"/>
      <s:c r="BD9" s="26"/>
      <s:c r="BE9" s="80"/>
      <s:c r="BF9" s="76"/>
      <s:c r="BG9" s="26"/>
      <s:c r="BH9" s="27"/>
      <s:c r="BI9" s="79"/>
      <s:c r="BJ9" s="26"/>
      <s:c r="BK9" s="80"/>
      <s:c r="BL9" s="76"/>
      <s:c r="BM9" s="26"/>
      <s:c r="BN9" s="27"/>
      <s:c r="BO9" s="79"/>
      <s:c r="BP9" s="26"/>
      <s:c r="BQ9" s="80"/>
      <s:c r="BR9" s="76"/>
      <s:c r="BS9" s="26"/>
      <s:c r="BT9" s="27"/>
      <s:c r="BU9" s="79"/>
      <s:c r="BV9" s="26"/>
      <s:c r="BW9" s="80"/>
      <s:c r="BX9" s="76"/>
      <s:c r="BY9" s="26"/>
      <s:c r="BZ9" s="27"/>
      <s:c r="CA9" s="79"/>
      <s:c r="CB9" s="26"/>
      <s:c r="CC9" s="80"/>
      <s:c r="CD9" s="76"/>
      <s:c r="CE9" s="26"/>
      <s:c r="CF9" s="27"/>
      <s:c r="CG9" s="79"/>
      <s:c r="CH9" s="26"/>
      <s:c r="CI9" s="80"/>
      <s:c r="CJ9" s="76"/>
      <s:c r="CK9" s="26"/>
      <s:c r="CL9" s="27"/>
      <s:c r="CM9" s="79"/>
      <s:c r="CN9" s="26"/>
      <s:c r="CO9" s="80"/>
      <s:c r="CP9" s="76"/>
      <s:c r="CQ9" s="26"/>
      <s:c r="CR9" s="27"/>
      <s:c r="CS9" s="62">
        <s:f>SUMIFS(D9:CR9,$D$3:$CR$3,"З")</s:f>
        <s:v>0</s:v>
      </s:c>
      <s:c r="CT9" s="63">
        <s:f>SUMIFS(D9:CR9,$D$3:$CR$3,"О")</s:f>
        <s:v>0</s:v>
      </s:c>
      <s:c r="CU9" s="63">
        <s:f>SUMIFS(D9:CR9,$D$3:$CR$3,"У")</s:f>
        <s:v>0</s:v>
      </s:c>
      <s:c r="CV9" s="28">
        <s:f>IF(C9="Да",CS9*$D$62+CT9*$D$63+CU9*$D$64,CS9*$C$62+CT9*$C$63+CU9*$C$64)</s:f>
        <s:v>0</s:v>
      </s:c>
      <s:c r="CW9" s="29" t="str">
        <s:f>IF(C9="Нет",CV9,"")</s:f>
        <s:v/>
      </s:c>
      <s:c r="CX9" s="30" t="str">
        <s:f>IF(C9="Да",CV9,"")</s:f>
        <s:v/>
      </s:c>
      <s:c r="CY9" s="30">
        <s:f>IF(C9="Налич",CV9,"")</s:f>
        <s:v>0</s:v>
      </s:c>
      <s:c r="CZ9" s="122">
        <s:v>-250</s:v>
      </s:c>
    </s:row>
    <s:row r="10" ht="21.75">
      <s:c r="A10" s="23"/>
      <s:c r="B10" s="24" t="s">
        <s:v>125</s:v>
      </s:c>
      <s:c r="C10" s="25" t="s">
        <s:v>18</s:v>
      </s:c>
      <s:c r="D10" s="49"/>
      <s:c r="E10" s="50"/>
      <s:c r="F10" s="74"/>
      <s:c r="G10" s="79"/>
      <s:c r="H10" s="26"/>
      <s:c r="I10" s="80"/>
      <s:c r="J10" s="76"/>
      <s:c r="K10" s="26"/>
      <s:c r="L10" s="27"/>
      <s:c r="M10" s="79"/>
      <s:c r="N10" s="26"/>
      <s:c r="O10" s="80"/>
      <s:c r="P10" s="76"/>
      <s:c r="Q10" s="26"/>
      <s:c r="R10" s="27"/>
      <s:c r="S10" s="79"/>
      <s:c r="T10" s="26"/>
      <s:c r="U10" s="80"/>
      <s:c r="V10" s="76"/>
      <s:c r="W10" s="26"/>
      <s:c r="X10" s="27"/>
      <s:c r="Y10" s="79"/>
      <s:c r="Z10" s="26"/>
      <s:c r="AA10" s="80"/>
      <s:c r="AB10" s="76"/>
      <s:c r="AC10" s="26"/>
      <s:c r="AD10" s="27"/>
      <s:c r="AE10" s="79"/>
      <s:c r="AF10" s="26"/>
      <s:c r="AG10" s="80"/>
      <s:c r="AH10" s="76"/>
      <s:c r="AI10" s="26"/>
      <s:c r="AJ10" s="27"/>
      <s:c r="AK10" s="79"/>
      <s:c r="AL10" s="26"/>
      <s:c r="AM10" s="80"/>
      <s:c r="AN10" s="76"/>
      <s:c r="AO10" s="181"/>
      <s:c r="AP10" s="184"/>
      <s:c r="AQ10" s="79"/>
      <s:c r="AR10" s="181"/>
      <s:c r="AS10" s="182"/>
      <s:c r="AT10" s="76"/>
      <s:c r="AU10" s="181"/>
      <s:c r="AV10" s="184"/>
      <s:c r="AW10" s="79"/>
      <s:c r="AX10" s="26"/>
      <s:c r="AY10" s="80"/>
      <s:c r="AZ10" s="76"/>
      <s:c r="BA10" s="26"/>
      <s:c r="BB10" s="27"/>
      <s:c r="BC10" s="79"/>
      <s:c r="BD10" s="26"/>
      <s:c r="BE10" s="80"/>
      <s:c r="BF10" s="76"/>
      <s:c r="BG10" s="26"/>
      <s:c r="BH10" s="27"/>
      <s:c r="BI10" s="79"/>
      <s:c r="BJ10" s="26"/>
      <s:c r="BK10" s="80"/>
      <s:c r="BL10" s="76"/>
      <s:c r="BM10" s="26"/>
      <s:c r="BN10" s="27"/>
      <s:c r="BO10" s="79"/>
      <s:c r="BP10" s="26"/>
      <s:c r="BQ10" s="80"/>
      <s:c r="BR10" s="76"/>
      <s:c r="BS10" s="26"/>
      <s:c r="BT10" s="27"/>
      <s:c r="BU10" s="79"/>
      <s:c r="BV10" s="26"/>
      <s:c r="BW10" s="80"/>
      <s:c r="BX10" s="76"/>
      <s:c r="BY10" s="26"/>
      <s:c r="BZ10" s="184"/>
      <s:c r="CA10" s="180">
        <s:v>14</s:v>
      </s:c>
      <s:c r="CB10" s="181">
        <s:v>14</s:v>
      </s:c>
      <s:c r="CC10" s="182">
        <s:v>14</s:v>
      </s:c>
      <s:c r="CD10" s="183">
        <s:v>14</s:v>
      </s:c>
      <s:c r="CE10" s="181">
        <s:v>14</s:v>
      </s:c>
      <s:c r="CF10" s="184">
        <s:v>14</s:v>
      </s:c>
      <s:c r="CG10" s="180">
        <s:v>14</s:v>
      </s:c>
      <s:c r="CH10" s="181">
        <s:v>14</s:v>
      </s:c>
      <s:c r="CI10" s="182">
        <s:v>14</s:v>
      </s:c>
      <s:c r="CJ10" s="183">
        <s:v>14</s:v>
      </s:c>
      <s:c r="CK10" s="181">
        <s:v>14</s:v>
      </s:c>
      <s:c r="CL10" s="184">
        <s:v>14</s:v>
      </s:c>
      <s:c r="CM10" s="180">
        <s:v>14</s:v>
      </s:c>
      <s:c r="CN10" s="26"/>
      <s:c r="CO10" s="80"/>
      <s:c r="CP10" s="76"/>
      <s:c r="CQ10" s="26"/>
      <s:c r="CR10" s="27"/>
      <s:c r="CS10" s="62">
        <s:f>SUMIFS(D10:CR10,$D$3:$CR$3,"З")</s:f>
        <s:v>70</s:v>
      </s:c>
      <s:c r="CT10" s="63">
        <s:f>SUMIFS(D10:CR10,$D$3:$CR$3,"О")</s:f>
        <s:v>56</s:v>
      </s:c>
      <s:c r="CU10" s="63">
        <s:f>SUMIFS(D10:CR10,$D$3:$CR$3,"У")</s:f>
        <s:v>56</s:v>
      </s:c>
      <s:c r="CV10" s="28">
        <s:f>IF(C10="Да",CS10*$D$62+CT10*$D$63+CU10*$D$64,CS10*$C$62+CT10*$C$63+CU10*$C$64)</s:f>
        <s:v>159600</s:v>
      </s:c>
      <s:c r="CW10" s="29">
        <s:f>IF(C10="Нет",CV10,"")</s:f>
        <s:v>159600</s:v>
      </s:c>
      <s:c r="CX10" s="30" t="str">
        <s:f>IF(C10="Да",CV10,"")</s:f>
        <s:v/>
      </s:c>
      <s:c r="CY10" s="30" t="str">
        <s:f>IF(C10="Налич",CV10,"")</s:f>
        <s:v/>
      </s:c>
      <s:c r="CZ10" s="122"/>
    </s:row>
    <s:row r="11" ht="21.75">
      <s:c r="A11" s="23"/>
      <s:c r="B11" s="24" t="s">
        <s:v>123</s:v>
      </s:c>
      <s:c r="C11" s="25" t="s">
        <s:v>18</s:v>
      </s:c>
      <s:c r="D11" s="49"/>
      <s:c r="E11" s="50"/>
      <s:c r="F11" s="74"/>
      <s:c r="G11" s="79"/>
      <s:c r="H11" s="26"/>
      <s:c r="I11" s="80"/>
      <s:c r="J11" s="76"/>
      <s:c r="K11" s="26"/>
      <s:c r="L11" s="27"/>
      <s:c r="M11" s="79"/>
      <s:c r="N11" s="26"/>
      <s:c r="O11" s="80"/>
      <s:c r="P11" s="76"/>
      <s:c r="Q11" s="26"/>
      <s:c r="R11" s="27"/>
      <s:c r="S11" s="79"/>
      <s:c r="T11" s="26"/>
      <s:c r="U11" s="80"/>
      <s:c r="V11" s="76"/>
      <s:c r="W11" s="26"/>
      <s:c r="X11" s="27"/>
      <s:c r="Y11" s="79"/>
      <s:c r="Z11" s="26"/>
      <s:c r="AA11" s="80"/>
      <s:c r="AB11" s="76"/>
      <s:c r="AC11" s="26"/>
      <s:c r="AD11" s="27"/>
      <s:c r="AE11" s="79"/>
      <s:c r="AF11" s="26"/>
      <s:c r="AG11" s="80"/>
      <s:c r="AH11" s="76"/>
      <s:c r="AI11" s="26"/>
      <s:c r="AJ11" s="27"/>
      <s:c r="AK11" s="79"/>
      <s:c r="AL11" s="26"/>
      <s:c r="AM11" s="80"/>
      <s:c r="AN11" s="76"/>
      <s:c r="AO11" s="181">
        <s:v>20</s:v>
      </s:c>
      <s:c r="AP11" s="184">
        <s:v>20</s:v>
      </s:c>
      <s:c r="AQ11" s="79"/>
      <s:c r="AR11" s="181">
        <s:v>20</s:v>
      </s:c>
      <s:c r="AS11" s="182">
        <s:v>20</s:v>
      </s:c>
      <s:c r="AT11" s="76"/>
      <s:c r="AU11" s="181">
        <s:v>20</s:v>
      </s:c>
      <s:c r="AV11" s="184">
        <s:v>20</s:v>
      </s:c>
      <s:c r="AW11" s="79"/>
      <s:c r="AX11" s="26"/>
      <s:c r="AY11" s="80"/>
      <s:c r="AZ11" s="76"/>
      <s:c r="BA11" s="26"/>
      <s:c r="BB11" s="27"/>
      <s:c r="BC11" s="79"/>
      <s:c r="BD11" s="26"/>
      <s:c r="BE11" s="80"/>
      <s:c r="BF11" s="76"/>
      <s:c r="BG11" s="26"/>
      <s:c r="BH11" s="27"/>
      <s:c r="BI11" s="79"/>
      <s:c r="BJ11" s="26"/>
      <s:c r="BK11" s="80"/>
      <s:c r="BL11" s="76"/>
      <s:c r="BM11" s="26"/>
      <s:c r="BN11" s="27"/>
      <s:c r="BO11" s="79"/>
      <s:c r="BP11" s="26"/>
      <s:c r="BQ11" s="80"/>
      <s:c r="BR11" s="76"/>
      <s:c r="BS11" s="26"/>
      <s:c r="BT11" s="27"/>
      <s:c r="BU11" s="79"/>
      <s:c r="BV11" s="26"/>
      <s:c r="BW11" s="80"/>
      <s:c r="BX11" s="76"/>
      <s:c r="BY11" s="26"/>
      <s:c r="BZ11" s="27"/>
      <s:c r="CA11" s="79"/>
      <s:c r="CB11" s="26"/>
      <s:c r="CC11" s="80"/>
      <s:c r="CD11" s="76"/>
      <s:c r="CE11" s="26"/>
      <s:c r="CF11" s="27"/>
      <s:c r="CG11" s="79"/>
      <s:c r="CH11" s="26"/>
      <s:c r="CI11" s="80"/>
      <s:c r="CJ11" s="76"/>
      <s:c r="CK11" s="26"/>
      <s:c r="CL11" s="27"/>
      <s:c r="CM11" s="79"/>
      <s:c r="CN11" s="26"/>
      <s:c r="CO11" s="80"/>
      <s:c r="CP11" s="76"/>
      <s:c r="CQ11" s="26"/>
      <s:c r="CR11" s="27"/>
      <s:c r="CS11" s="62">
        <s:f>SUMIFS(D11:CR11,$D$3:$CR$3,"З")</s:f>
        <s:v>0</s:v>
      </s:c>
      <s:c r="CT11" s="63">
        <s:f>SUMIFS(D11:CR11,$D$3:$CR$3,"О")</s:f>
        <s:v>60</s:v>
      </s:c>
      <s:c r="CU11" s="63">
        <s:f>SUMIFS(D11:CR11,$D$3:$CR$3,"У")</s:f>
        <s:v>60</s:v>
      </s:c>
      <s:c r="CV11" s="28">
        <s:f>IF(C11="Да",CS11*$D$62+CT11*$D$63+CU11*$D$64,CS11*$C$62+CT11*$C$63+CU11*$C$64)</s:f>
        <s:v>111000</s:v>
      </s:c>
      <s:c r="CW11" s="29">
        <s:f>IF(C11="Нет",CV11,"")</s:f>
        <s:v>111000</s:v>
      </s:c>
      <s:c r="CX11" s="30" t="str">
        <s:f>IF(C11="Да",CV11,"")</s:f>
        <s:v/>
      </s:c>
      <s:c r="CY11" s="30" t="str">
        <s:f>IF(C11="Налич",CV11,"")</s:f>
        <s:v/>
      </s:c>
      <s:c r="CZ11" s="122"/>
    </s:row>
    <s:row r="12" ht="21.75">
      <s:c r="A12" s="23">
        <s:v>101</s:v>
      </s:c>
      <s:c r="B12" s="24" t="s">
        <s:v>124</s:v>
      </s:c>
      <s:c r="C12" s="25" t="s">
        <s:v>17</s:v>
      </s:c>
      <s:c r="D12" s="49"/>
      <s:c r="E12" s="50"/>
      <s:c r="F12" s="74"/>
      <s:c r="G12" s="79"/>
      <s:c r="H12" s="26"/>
      <s:c r="I12" s="80"/>
      <s:c r="J12" s="76"/>
      <s:c r="K12" s="26"/>
      <s:c r="L12" s="27"/>
      <s:c r="M12" s="79"/>
      <s:c r="N12" s="26"/>
      <s:c r="O12" s="80"/>
      <s:c r="P12" s="76"/>
      <s:c r="Q12" s="26"/>
      <s:c r="R12" s="27"/>
      <s:c r="S12" s="79"/>
      <s:c r="T12" s="26"/>
      <s:c r="U12" s="80"/>
      <s:c r="V12" s="76"/>
      <s:c r="W12" s="26"/>
      <s:c r="X12" s="27"/>
      <s:c r="Y12" s="79"/>
      <s:c r="Z12" s="26"/>
      <s:c r="AA12" s="80"/>
      <s:c r="AB12" s="76"/>
      <s:c r="AC12" s="26"/>
      <s:c r="AD12" s="27"/>
      <s:c r="AE12" s="180">
        <s:v>1</s:v>
      </s:c>
      <s:c r="AF12" s="26"/>
      <s:c r="AG12" s="80"/>
      <s:c r="AH12" s="76"/>
      <s:c r="AI12" s="26"/>
      <s:c r="AJ12" s="27"/>
      <s:c r="AK12" s="79"/>
      <s:c r="AL12" s="26"/>
      <s:c r="AM12" s="80"/>
      <s:c r="AN12" s="76"/>
      <s:c r="AO12" s="26"/>
      <s:c r="AP12" s="27"/>
      <s:c r="AQ12" s="79"/>
      <s:c r="AR12" s="26"/>
      <s:c r="AS12" s="80"/>
      <s:c r="AT12" s="76"/>
      <s:c r="AU12" s="26"/>
      <s:c r="AV12" s="27"/>
      <s:c r="AW12" s="79"/>
      <s:c r="AX12" s="26"/>
      <s:c r="AY12" s="80"/>
      <s:c r="AZ12" s="76"/>
      <s:c r="BA12" s="26"/>
      <s:c r="BB12" s="27"/>
      <s:c r="BC12" s="79"/>
      <s:c r="BD12" s="26"/>
      <s:c r="BE12" s="80"/>
      <s:c r="BF12" s="76"/>
      <s:c r="BG12" s="26"/>
      <s:c r="BH12" s="27"/>
      <s:c r="BI12" s="79"/>
      <s:c r="BJ12" s="26"/>
      <s:c r="BK12" s="80"/>
      <s:c r="BL12" s="76"/>
      <s:c r="BM12" s="26"/>
      <s:c r="BN12" s="27"/>
      <s:c r="BO12" s="79"/>
      <s:c r="BP12" s="26"/>
      <s:c r="BQ12" s="80"/>
      <s:c r="BR12" s="76"/>
      <s:c r="BS12" s="26"/>
      <s:c r="BT12" s="27"/>
      <s:c r="BU12" s="79"/>
      <s:c r="BV12" s="26"/>
      <s:c r="BW12" s="80"/>
      <s:c r="BX12" s="76"/>
      <s:c r="BY12" s="26"/>
      <s:c r="BZ12" s="27"/>
      <s:c r="CA12" s="79"/>
      <s:c r="CB12" s="26"/>
      <s:c r="CC12" s="80"/>
      <s:c r="CD12" s="76"/>
      <s:c r="CE12" s="26"/>
      <s:c r="CF12" s="27"/>
      <s:c r="CG12" s="79"/>
      <s:c r="CH12" s="26"/>
      <s:c r="CI12" s="80"/>
      <s:c r="CJ12" s="76"/>
      <s:c r="CK12" s="26"/>
      <s:c r="CL12" s="27"/>
      <s:c r="CM12" s="79"/>
      <s:c r="CN12" s="26"/>
      <s:c r="CO12" s="80"/>
      <s:c r="CP12" s="76"/>
      <s:c r="CQ12" s="26"/>
      <s:c r="CR12" s="27"/>
      <s:c r="CS12" s="62">
        <s:f>SUMIFS(D12:CR12,$D$3:$CR$3,"З")</s:f>
        <s:v>1</s:v>
      </s:c>
      <s:c r="CT12" s="63">
        <s:f>SUMIFS(D12:CR12,$D$3:$CR$3,"О")</s:f>
        <s:v>0</s:v>
      </s:c>
      <s:c r="CU12" s="63">
        <s:f>SUMIFS(D12:CR12,$D$3:$CR$3,"У")</s:f>
        <s:v>0</s:v>
      </s:c>
      <s:c r="CV12" s="28">
        <s:f>IF(C12="Да",CS12*$D$62+CT12*$D$63+CU12*$D$64,CS12*$C$62+CT12*$C$63+CU12*$C$64)</s:f>
        <s:v>976</s:v>
      </s:c>
      <s:c r="CW12" s="29" t="str">
        <s:f>IF(C12="Нет",CV12,"")</s:f>
        <s:v/>
      </s:c>
      <s:c r="CX12" s="30">
        <s:f>IF(C12="Да",CV12,"")</s:f>
        <s:v>976</s:v>
      </s:c>
      <s:c r="CY12" s="30" t="str">
        <s:f>IF(C12="Налич",CV12,"")</s:f>
        <s:v/>
      </s:c>
      <s:c r="CZ12" s="122"/>
    </s:row>
    <s:row r="13" ht="21.75">
      <s:c r="A13" s="23">
        <s:v>106</s:v>
      </s:c>
      <s:c r="B13" s="24" t="s">
        <s:v>126</s:v>
      </s:c>
      <s:c r="C13" s="25" t="s">
        <s:v>18</s:v>
      </s:c>
      <s:c r="D13" s="49"/>
      <s:c r="E13" s="50"/>
      <s:c r="F13" s="74"/>
      <s:c r="G13" s="79"/>
      <s:c r="H13" s="26"/>
      <s:c r="I13" s="80"/>
      <s:c r="J13" s="76"/>
      <s:c r="K13" s="26"/>
      <s:c r="L13" s="27"/>
      <s:c r="M13" s="79"/>
      <s:c r="N13" s="26"/>
      <s:c r="O13" s="80"/>
      <s:c r="P13" s="76"/>
      <s:c r="Q13" s="26"/>
      <s:c r="R13" s="27"/>
      <s:c r="S13" s="79"/>
      <s:c r="T13" s="26"/>
      <s:c r="U13" s="80"/>
      <s:c r="V13" s="76"/>
      <s:c r="W13" s="26"/>
      <s:c r="X13" s="27"/>
      <s:c r="Y13" s="79"/>
      <s:c r="Z13" s="26"/>
      <s:c r="AA13" s="80"/>
      <s:c r="AB13" s="76"/>
      <s:c r="AC13" s="26"/>
      <s:c r="AD13" s="27"/>
      <s:c r="AE13" s="79"/>
      <s:c r="AF13" s="26"/>
      <s:c r="AG13" s="182">
        <s:v>1</s:v>
      </s:c>
      <s:c r="AH13" s="76"/>
      <s:c r="AI13" s="26"/>
      <s:c r="AJ13" s="27"/>
      <s:c r="AK13" s="79"/>
      <s:c r="AL13" s="26"/>
      <s:c r="AM13" s="80"/>
      <s:c r="AN13" s="76"/>
      <s:c r="AO13" s="26"/>
      <s:c r="AP13" s="27"/>
      <s:c r="AQ13" s="79"/>
      <s:c r="AR13" s="26"/>
      <s:c r="AS13" s="80"/>
      <s:c r="AT13" s="76"/>
      <s:c r="AU13" s="26"/>
      <s:c r="AV13" s="27"/>
      <s:c r="AW13" s="79"/>
      <s:c r="AX13" s="26"/>
      <s:c r="AY13" s="80"/>
      <s:c r="AZ13" s="76"/>
      <s:c r="BA13" s="26"/>
      <s:c r="BB13" s="27"/>
      <s:c r="BC13" s="79"/>
      <s:c r="BD13" s="26"/>
      <s:c r="BE13" s="80"/>
      <s:c r="BF13" s="76"/>
      <s:c r="BG13" s="26"/>
      <s:c r="BH13" s="27"/>
      <s:c r="BI13" s="79"/>
      <s:c r="BJ13" s="26"/>
      <s:c r="BK13" s="80"/>
      <s:c r="BL13" s="76"/>
      <s:c r="BM13" s="26"/>
      <s:c r="BN13" s="27"/>
      <s:c r="BO13" s="79"/>
      <s:c r="BP13" s="26"/>
      <s:c r="BQ13" s="80"/>
      <s:c r="BR13" s="76"/>
      <s:c r="BS13" s="26"/>
      <s:c r="BT13" s="27"/>
      <s:c r="BU13" s="79"/>
      <s:c r="BV13" s="26"/>
      <s:c r="BW13" s="80"/>
      <s:c r="BX13" s="76"/>
      <s:c r="BY13" s="26"/>
      <s:c r="BZ13" s="27"/>
      <s:c r="CA13" s="79"/>
      <s:c r="CB13" s="26"/>
      <s:c r="CC13" s="80"/>
      <s:c r="CD13" s="76"/>
      <s:c r="CE13" s="26"/>
      <s:c r="CF13" s="27"/>
      <s:c r="CG13" s="79"/>
      <s:c r="CH13" s="26"/>
      <s:c r="CI13" s="80"/>
      <s:c r="CJ13" s="76"/>
      <s:c r="CK13" s="26"/>
      <s:c r="CL13" s="27"/>
      <s:c r="CM13" s="79"/>
      <s:c r="CN13" s="26"/>
      <s:c r="CO13" s="80"/>
      <s:c r="CP13" s="76"/>
      <s:c r="CQ13" s="26"/>
      <s:c r="CR13" s="27"/>
      <s:c r="CS13" s="62">
        <s:f>SUMIFS(D13:CR13,$D$3:$CR$3,"З")</s:f>
        <s:v>0</s:v>
      </s:c>
      <s:c r="CT13" s="63">
        <s:f>SUMIFS(D13:CR13,$D$3:$CR$3,"О")</s:f>
        <s:v>0</s:v>
      </s:c>
      <s:c r="CU13" s="63">
        <s:f>SUMIFS(D13:CR13,$D$3:$CR$3,"У")</s:f>
        <s:v>1</s:v>
      </s:c>
      <s:c r="CV13" s="28">
        <s:f>IF(C13="Да",CS13*$D$62+CT13*$D$63+CU13*$D$64,CS13*$C$62+CT13*$C$63+CU13*$C$64)</s:f>
        <s:v>850</s:v>
      </s:c>
      <s:c r="CW13" s="29">
        <s:f>IF(C13="Нет",CV13,"")</s:f>
        <s:v>850</s:v>
      </s:c>
      <s:c r="CX13" s="30" t="str">
        <s:f>IF(C13="Да",CV13,"")</s:f>
        <s:v/>
      </s:c>
      <s:c r="CY13" s="30" t="str">
        <s:f>IF(C13="Налич",CV13,"")</s:f>
        <s:v/>
      </s:c>
      <s:c r="CZ13" s="122"/>
    </s:row>
    <s:row r="14" ht="21.75">
      <s:c r="A14" s="23">
        <s:v>106</s:v>
      </s:c>
      <s:c r="B14" s="24" t="s">
        <s:v>126</s:v>
      </s:c>
      <s:c r="C14" s="25" t="s">
        <s:v>18</s:v>
      </s:c>
      <s:c r="D14" s="49"/>
      <s:c r="E14" s="50"/>
      <s:c r="F14" s="74"/>
      <s:c r="G14" s="79"/>
      <s:c r="H14" s="26"/>
      <s:c r="I14" s="80"/>
      <s:c r="J14" s="76"/>
      <s:c r="K14" s="26"/>
      <s:c r="L14" s="27"/>
      <s:c r="M14" s="79"/>
      <s:c r="N14" s="26"/>
      <s:c r="O14" s="80"/>
      <s:c r="P14" s="76"/>
      <s:c r="Q14" s="26"/>
      <s:c r="R14" s="27"/>
      <s:c r="S14" s="79"/>
      <s:c r="T14" s="26"/>
      <s:c r="U14" s="80"/>
      <s:c r="V14" s="76"/>
      <s:c r="W14" s="26"/>
      <s:c r="X14" s="27"/>
      <s:c r="Y14" s="79"/>
      <s:c r="Z14" s="26"/>
      <s:c r="AA14" s="80"/>
      <s:c r="AB14" s="76"/>
      <s:c r="AC14" s="26"/>
      <s:c r="AD14" s="27"/>
      <s:c r="AE14" s="79"/>
      <s:c r="AF14" s="26"/>
      <s:c r="AG14" s="80"/>
      <s:c r="AH14" s="183">
        <s:v>1</s:v>
      </s:c>
      <s:c r="AI14" s="26"/>
      <s:c r="AJ14" s="27"/>
      <s:c r="AK14" s="180">
        <s:v>1</s:v>
      </s:c>
      <s:c r="AL14" s="26"/>
      <s:c r="AM14" s="80"/>
      <s:c r="AN14" s="183"/>
      <s:c r="AO14" s="26"/>
      <s:c r="AP14" s="27"/>
      <s:c r="AQ14" s="79"/>
      <s:c r="AR14" s="26"/>
      <s:c r="AS14" s="80"/>
      <s:c r="AT14" s="76"/>
      <s:c r="AU14" s="26"/>
      <s:c r="AV14" s="27"/>
      <s:c r="AW14" s="79"/>
      <s:c r="AX14" s="26"/>
      <s:c r="AY14" s="80"/>
      <s:c r="AZ14" s="76"/>
      <s:c r="BA14" s="26"/>
      <s:c r="BB14" s="27"/>
      <s:c r="BC14" s="79"/>
      <s:c r="BD14" s="26"/>
      <s:c r="BE14" s="80"/>
      <s:c r="BF14" s="76"/>
      <s:c r="BG14" s="26"/>
      <s:c r="BH14" s="27"/>
      <s:c r="BI14" s="79"/>
      <s:c r="BJ14" s="26"/>
      <s:c r="BK14" s="80"/>
      <s:c r="BL14" s="76"/>
      <s:c r="BM14" s="26"/>
      <s:c r="BN14" s="27"/>
      <s:c r="BO14" s="79"/>
      <s:c r="BP14" s="26"/>
      <s:c r="BQ14" s="80"/>
      <s:c r="BR14" s="76"/>
      <s:c r="BS14" s="26"/>
      <s:c r="BT14" s="27"/>
      <s:c r="BU14" s="79"/>
      <s:c r="BV14" s="26"/>
      <s:c r="BW14" s="80"/>
      <s:c r="BX14" s="76"/>
      <s:c r="BY14" s="26"/>
      <s:c r="BZ14" s="27"/>
      <s:c r="CA14" s="79"/>
      <s:c r="CB14" s="26"/>
      <s:c r="CC14" s="80"/>
      <s:c r="CD14" s="76"/>
      <s:c r="CE14" s="26"/>
      <s:c r="CF14" s="27"/>
      <s:c r="CG14" s="79"/>
      <s:c r="CH14" s="26"/>
      <s:c r="CI14" s="80"/>
      <s:c r="CJ14" s="76"/>
      <s:c r="CK14" s="26"/>
      <s:c r="CL14" s="27"/>
      <s:c r="CM14" s="79"/>
      <s:c r="CN14" s="26"/>
      <s:c r="CO14" s="80"/>
      <s:c r="CP14" s="76"/>
      <s:c r="CQ14" s="26"/>
      <s:c r="CR14" s="27"/>
      <s:c r="CS14" s="62">
        <s:f>SUMIFS(D14:CR14,$D$3:$CR$3,"З")</s:f>
        <s:v>2</s:v>
      </s:c>
      <s:c r="CT14" s="63">
        <s:f>SUMIFS(D14:CR14,$D$3:$CR$3,"О")</s:f>
        <s:v>0</s:v>
      </s:c>
      <s:c r="CU14" s="63">
        <s:f>SUMIFS(D14:CR14,$D$3:$CR$3,"У")</s:f>
        <s:v>0</s:v>
      </s:c>
      <s:c r="CV14" s="28">
        <s:f>IF(C14="Да",CS14*$D$62+CT14*$D$63+CU14*$D$64,CS14*$C$62+CT14*$C$63+CU14*$C$64)</s:f>
        <s:v>1600</s:v>
      </s:c>
      <s:c r="CW14" s="29">
        <s:f>IF(C14="Нет",CV14,"")</s:f>
        <s:v>1600</s:v>
      </s:c>
      <s:c r="CX14" s="30" t="str">
        <s:f>IF(C14="Да",CV14,"")</s:f>
        <s:v/>
      </s:c>
      <s:c r="CY14" s="30" t="str">
        <s:f>IF(C14="Налич",CV14,"")</s:f>
        <s:v/>
      </s:c>
      <s:c r="CZ14" s="122"/>
    </s:row>
    <s:row r="15" ht="21.75">
      <s:c r="A15" s="37">
        <s:v>109</s:v>
      </s:c>
      <s:c r="B15" s="24" t="s">
        <s:v>127</s:v>
      </s:c>
      <s:c r="C15" s="25" t="s">
        <s:v>17</s:v>
      </s:c>
      <s:c r="D15" s="49"/>
      <s:c r="E15" s="50"/>
      <s:c r="F15" s="74"/>
      <s:c r="G15" s="79"/>
      <s:c r="H15" s="26"/>
      <s:c r="I15" s="80"/>
      <s:c r="J15" s="76"/>
      <s:c r="K15" s="26"/>
      <s:c r="L15" s="27"/>
      <s:c r="M15" s="79"/>
      <s:c r="N15" s="26"/>
      <s:c r="O15" s="80"/>
      <s:c r="P15" s="76"/>
      <s:c r="Q15" s="26"/>
      <s:c r="R15" s="27"/>
      <s:c r="S15" s="79"/>
      <s:c r="T15" s="26"/>
      <s:c r="U15" s="80"/>
      <s:c r="V15" s="76"/>
      <s:c r="W15" s="26"/>
      <s:c r="X15" s="27"/>
      <s:c r="Y15" s="79"/>
      <s:c r="Z15" s="26"/>
      <s:c r="AA15" s="80"/>
      <s:c r="AB15" s="76"/>
      <s:c r="AC15" s="26"/>
      <s:c r="AD15" s="27"/>
      <s:c r="AE15" s="79"/>
      <s:c r="AF15" s="26"/>
      <s:c r="AG15" s="80"/>
      <s:c r="AH15" s="183">
        <s:v>1</s:v>
      </s:c>
      <s:c r="AI15" s="26"/>
      <s:c r="AJ15" s="27"/>
      <s:c r="AK15" s="180">
        <s:v>1</s:v>
      </s:c>
      <s:c r="AL15" s="26"/>
      <s:c r="AM15" s="80"/>
      <s:c r="AN15" s="183">
        <s:v>1</s:v>
      </s:c>
      <s:c r="AO15" s="26"/>
      <s:c r="AP15" s="27"/>
      <s:c r="AQ15" s="79"/>
      <s:c r="AR15" s="26"/>
      <s:c r="AS15" s="80"/>
      <s:c r="AT15" s="76"/>
      <s:c r="AU15" s="26"/>
      <s:c r="AV15" s="27"/>
      <s:c r="AW15" s="79"/>
      <s:c r="AX15" s="26"/>
      <s:c r="AY15" s="80"/>
      <s:c r="AZ15" s="76"/>
      <s:c r="BA15" s="26"/>
      <s:c r="BB15" s="27"/>
      <s:c r="BC15" s="79"/>
      <s:c r="BD15" s="26"/>
      <s:c r="BE15" s="80"/>
      <s:c r="BF15" s="76"/>
      <s:c r="BG15" s="26"/>
      <s:c r="BH15" s="27"/>
      <s:c r="BI15" s="79"/>
      <s:c r="BJ15" s="26"/>
      <s:c r="BK15" s="80"/>
      <s:c r="BL15" s="76"/>
      <s:c r="BM15" s="26"/>
      <s:c r="BN15" s="27"/>
      <s:c r="BO15" s="79"/>
      <s:c r="BP15" s="26"/>
      <s:c r="BQ15" s="80"/>
      <s:c r="BR15" s="76"/>
      <s:c r="BS15" s="26"/>
      <s:c r="BT15" s="27"/>
      <s:c r="BU15" s="79"/>
      <s:c r="BV15" s="26"/>
      <s:c r="BW15" s="80"/>
      <s:c r="BX15" s="76"/>
      <s:c r="BY15" s="26"/>
      <s:c r="BZ15" s="27"/>
      <s:c r="CA15" s="79"/>
      <s:c r="CB15" s="26"/>
      <s:c r="CC15" s="80"/>
      <s:c r="CD15" s="76"/>
      <s:c r="CE15" s="26"/>
      <s:c r="CF15" s="27"/>
      <s:c r="CG15" s="79"/>
      <s:c r="CH15" s="26"/>
      <s:c r="CI15" s="80"/>
      <s:c r="CJ15" s="76"/>
      <s:c r="CK15" s="26"/>
      <s:c r="CL15" s="27"/>
      <s:c r="CM15" s="79"/>
      <s:c r="CN15" s="26"/>
      <s:c r="CO15" s="80"/>
      <s:c r="CP15" s="76"/>
      <s:c r="CQ15" s="26"/>
      <s:c r="CR15" s="27"/>
      <s:c r="CS15" s="62">
        <s:f>SUMIFS(D15:CR15,$D$3:$CR$3,"З")</s:f>
        <s:v>3</s:v>
      </s:c>
      <s:c r="CT15" s="63">
        <s:f>SUMIFS(D15:CR15,$D$3:$CR$3,"О")</s:f>
        <s:v>0</s:v>
      </s:c>
      <s:c r="CU15" s="63">
        <s:f>SUMIFS(D15:CR15,$D$3:$CR$3,"У")</s:f>
        <s:v>0</s:v>
      </s:c>
      <s:c r="CV15" s="28">
        <s:f>IF(C15="Да",CS15*$D$62+CT15*$D$63+CU15*$D$64,CS15*$C$62+CT15*$C$63+CU15*$C$64)</s:f>
        <s:v>2928</s:v>
      </s:c>
      <s:c r="CW15" s="29" t="str">
        <s:f>IF(C15="Нет",CV15,"")</s:f>
        <s:v/>
      </s:c>
      <s:c r="CX15" s="30">
        <s:f>IF(C15="Да",CV15,"")</s:f>
        <s:v>2928</s:v>
      </s:c>
      <s:c r="CY15" s="30" t="str">
        <s:f>IF(C15="Налич",CV15,"")</s:f>
        <s:v/>
      </s:c>
      <s:c r="CZ15" s="122"/>
    </s:row>
    <s:row r="16" ht="21.75">
      <s:c r="A16" s="37">
        <s:v>103</s:v>
      </s:c>
      <s:c r="B16" s="24" t="s">
        <s:v>130</s:v>
      </s:c>
      <s:c r="C16" s="25" t="s">
        <s:v>18</s:v>
      </s:c>
      <s:c r="D16" s="49"/>
      <s:c r="E16" s="50"/>
      <s:c r="F16" s="74"/>
      <s:c r="G16" s="79"/>
      <s:c r="H16" s="26"/>
      <s:c r="I16" s="80"/>
      <s:c r="J16" s="76"/>
      <s:c r="K16" s="26"/>
      <s:c r="L16" s="27"/>
      <s:c r="M16" s="79"/>
      <s:c r="N16" s="26"/>
      <s:c r="O16" s="80"/>
      <s:c r="P16" s="76"/>
      <s:c r="Q16" s="26"/>
      <s:c r="R16" s="27"/>
      <s:c r="S16" s="79"/>
      <s:c r="T16" s="26"/>
      <s:c r="U16" s="80"/>
      <s:c r="V16" s="76"/>
      <s:c r="W16" s="26"/>
      <s:c r="X16" s="27"/>
      <s:c r="Y16" s="79"/>
      <s:c r="Z16" s="26"/>
      <s:c r="AA16" s="80"/>
      <s:c r="AB16" s="76"/>
      <s:c r="AC16" s="26"/>
      <s:c r="AD16" s="27"/>
      <s:c r="AE16" s="79"/>
      <s:c r="AF16" s="26"/>
      <s:c r="AG16" s="80"/>
      <s:c r="AH16" s="76"/>
      <s:c r="AI16" s="26"/>
      <s:c r="AJ16" s="27"/>
      <s:c r="AK16" s="180">
        <s:v>1</s:v>
      </s:c>
      <s:c r="AL16" s="26"/>
      <s:c r="AM16" s="80"/>
      <s:c r="AN16" s="183">
        <s:v>1</s:v>
      </s:c>
      <s:c r="AO16" s="26"/>
      <s:c r="AP16" s="27"/>
      <s:c r="AQ16" s="79"/>
      <s:c r="AR16" s="26"/>
      <s:c r="AS16" s="80"/>
      <s:c r="AT16" s="76"/>
      <s:c r="AU16" s="26"/>
      <s:c r="AV16" s="27"/>
      <s:c r="AW16" s="79"/>
      <s:c r="AX16" s="26"/>
      <s:c r="AY16" s="80"/>
      <s:c r="AZ16" s="76"/>
      <s:c r="BA16" s="26"/>
      <s:c r="BB16" s="27"/>
      <s:c r="BC16" s="79"/>
      <s:c r="BD16" s="26"/>
      <s:c r="BE16" s="80"/>
      <s:c r="BF16" s="76"/>
      <s:c r="BG16" s="26"/>
      <s:c r="BH16" s="27"/>
      <s:c r="BI16" s="79"/>
      <s:c r="BJ16" s="26"/>
      <s:c r="BK16" s="80"/>
      <s:c r="BL16" s="76"/>
      <s:c r="BM16" s="26"/>
      <s:c r="BN16" s="27"/>
      <s:c r="BO16" s="79"/>
      <s:c r="BP16" s="26"/>
      <s:c r="BQ16" s="80"/>
      <s:c r="BR16" s="76"/>
      <s:c r="BS16" s="26"/>
      <s:c r="BT16" s="27"/>
      <s:c r="BU16" s="79"/>
      <s:c r="BV16" s="26"/>
      <s:c r="BW16" s="80"/>
      <s:c r="BX16" s="76"/>
      <s:c r="BY16" s="26"/>
      <s:c r="BZ16" s="27"/>
      <s:c r="CA16" s="79"/>
      <s:c r="CB16" s="26"/>
      <s:c r="CC16" s="80"/>
      <s:c r="CD16" s="76"/>
      <s:c r="CE16" s="26"/>
      <s:c r="CF16" s="27"/>
      <s:c r="CG16" s="79"/>
      <s:c r="CH16" s="26"/>
      <s:c r="CI16" s="80"/>
      <s:c r="CJ16" s="76"/>
      <s:c r="CK16" s="26"/>
      <s:c r="CL16" s="27"/>
      <s:c r="CM16" s="79"/>
      <s:c r="CN16" s="26"/>
      <s:c r="CO16" s="80"/>
      <s:c r="CP16" s="76"/>
      <s:c r="CQ16" s="26"/>
      <s:c r="CR16" s="27"/>
      <s:c r="CS16" s="62">
        <s:f>SUMIFS(D16:CR16,$D$3:$CR$3,"З")</s:f>
        <s:v>2</s:v>
      </s:c>
      <s:c r="CT16" s="63">
        <s:f>SUMIFS(D16:CR16,$D$3:$CR$3,"О")</s:f>
        <s:v>0</s:v>
      </s:c>
      <s:c r="CU16" s="63">
        <s:f>SUMIFS(D16:CR16,$D$3:$CR$3,"У")</s:f>
        <s:v>0</s:v>
      </s:c>
      <s:c r="CV16" s="28">
        <s:f>IF(C16="Да",CS16*$D$62+CT16*$D$63+CU16*$D$64,CS16*$C$62+CT16*$C$63+CU16*$C$64)</s:f>
        <s:v>1600</s:v>
      </s:c>
      <s:c r="CW16" s="29">
        <s:f>IF(C16="Нет",CV16,"")</s:f>
        <s:v>1600</s:v>
      </s:c>
      <s:c r="CX16" s="30" t="str">
        <s:f>IF(C16="Да",CV16,"")</s:f>
        <s:v/>
      </s:c>
      <s:c r="CY16" s="30" t="str">
        <s:f>IF(C16="Налич",CV16,"")</s:f>
        <s:v/>
      </s:c>
      <s:c r="CZ16" s="122"/>
    </s:row>
    <s:row r="17" ht="21.75">
      <s:c r="A17" s="23">
        <s:v>105</s:v>
      </s:c>
      <s:c r="B17" s="24" t="s">
        <s:v>131</s:v>
      </s:c>
      <s:c r="C17" s="25" t="s">
        <s:v>17</s:v>
      </s:c>
      <s:c r="D17" s="49"/>
      <s:c r="E17" s="50"/>
      <s:c r="F17" s="74"/>
      <s:c r="G17" s="79"/>
      <s:c r="H17" s="26"/>
      <s:c r="I17" s="80"/>
      <s:c r="J17" s="76"/>
      <s:c r="K17" s="26"/>
      <s:c r="L17" s="27"/>
      <s:c r="M17" s="79"/>
      <s:c r="N17" s="26"/>
      <s:c r="O17" s="80"/>
      <s:c r="P17" s="76"/>
      <s:c r="Q17" s="26"/>
      <s:c r="R17" s="27"/>
      <s:c r="S17" s="79"/>
      <s:c r="T17" s="26"/>
      <s:c r="U17" s="80"/>
      <s:c r="V17" s="76"/>
      <s:c r="W17" s="26"/>
      <s:c r="X17" s="27"/>
      <s:c r="Y17" s="79"/>
      <s:c r="Z17" s="26"/>
      <s:c r="AA17" s="80"/>
      <s:c r="AB17" s="76"/>
      <s:c r="AC17" s="26"/>
      <s:c r="AD17" s="27"/>
      <s:c r="AE17" s="79"/>
      <s:c r="AF17" s="26"/>
      <s:c r="AG17" s="80"/>
      <s:c r="AH17" s="76"/>
      <s:c r="AI17" s="26"/>
      <s:c r="AJ17" s="27"/>
      <s:c r="AK17" s="79"/>
      <s:c r="AL17" s="26"/>
      <s:c r="AM17" s="80"/>
      <s:c r="AN17" s="183">
        <s:v>1</s:v>
      </s:c>
      <s:c r="AO17" s="26"/>
      <s:c r="AP17" s="27"/>
      <s:c r="AQ17" s="79"/>
      <s:c r="AR17" s="26"/>
      <s:c r="AS17" s="80"/>
      <s:c r="AT17" s="76"/>
      <s:c r="AU17" s="26"/>
      <s:c r="AV17" s="27"/>
      <s:c r="AW17" s="79"/>
      <s:c r="AX17" s="26"/>
      <s:c r="AY17" s="80"/>
      <s:c r="AZ17" s="76"/>
      <s:c r="BA17" s="26"/>
      <s:c r="BB17" s="27"/>
      <s:c r="BC17" s="79"/>
      <s:c r="BD17" s="26"/>
      <s:c r="BE17" s="80"/>
      <s:c r="BF17" s="76"/>
      <s:c r="BG17" s="26"/>
      <s:c r="BH17" s="27"/>
      <s:c r="BI17" s="79"/>
      <s:c r="BJ17" s="26"/>
      <s:c r="BK17" s="80"/>
      <s:c r="BL17" s="76"/>
      <s:c r="BM17" s="26"/>
      <s:c r="BN17" s="27"/>
      <s:c r="BO17" s="79"/>
      <s:c r="BP17" s="26"/>
      <s:c r="BQ17" s="80"/>
      <s:c r="BR17" s="76"/>
      <s:c r="BS17" s="26"/>
      <s:c r="BT17" s="27"/>
      <s:c r="BU17" s="79"/>
      <s:c r="BV17" s="26"/>
      <s:c r="BW17" s="80"/>
      <s:c r="BX17" s="76"/>
      <s:c r="BY17" s="26"/>
      <s:c r="BZ17" s="27"/>
      <s:c r="CA17" s="79"/>
      <s:c r="CB17" s="26"/>
      <s:c r="CC17" s="80"/>
      <s:c r="CD17" s="76"/>
      <s:c r="CE17" s="26"/>
      <s:c r="CF17" s="27"/>
      <s:c r="CG17" s="79"/>
      <s:c r="CH17" s="26"/>
      <s:c r="CI17" s="80"/>
      <s:c r="CJ17" s="76"/>
      <s:c r="CK17" s="26"/>
      <s:c r="CL17" s="27"/>
      <s:c r="CM17" s="79"/>
      <s:c r="CN17" s="26"/>
      <s:c r="CO17" s="80"/>
      <s:c r="CP17" s="76"/>
      <s:c r="CQ17" s="26"/>
      <s:c r="CR17" s="27"/>
      <s:c r="CS17" s="62">
        <s:f>SUMIFS(D17:CR17,$D$3:$CR$3,"З")</s:f>
        <s:v>1</s:v>
      </s:c>
      <s:c r="CT17" s="63">
        <s:f>SUMIFS(D17:CR17,$D$3:$CR$3,"О")</s:f>
        <s:v>0</s:v>
      </s:c>
      <s:c r="CU17" s="63">
        <s:f>SUMIFS(D17:CR17,$D$3:$CR$3,"У")</s:f>
        <s:v>0</s:v>
      </s:c>
      <s:c r="CV17" s="28">
        <s:f>IF(C17="Да",CS17*$D$62+CT17*$D$63+CU17*$D$64,CS17*$C$62+CT17*$C$63+CU17*$C$64)</s:f>
        <s:v>976</s:v>
      </s:c>
      <s:c r="CW17" s="29" t="str">
        <s:f>IF(C17="Нет",CV17,"")</s:f>
        <s:v/>
      </s:c>
      <s:c r="CX17" s="30">
        <s:f>IF(C17="Да",CV17,"")</s:f>
        <s:v>976</s:v>
      </s:c>
      <s:c r="CY17" s="30" t="str">
        <s:f>IF(C17="Налич",CV17,"")</s:f>
        <s:v/>
      </s:c>
      <s:c r="CZ17" s="122"/>
    </s:row>
    <s:row r="18" ht="21.75">
      <s:c r="A18" s="23">
        <s:v>105</s:v>
      </s:c>
      <s:c r="B18" s="24" t="s">
        <s:v>132</s:v>
      </s:c>
      <s:c r="C18" s="25" t="s">
        <s:v>18</s:v>
      </s:c>
      <s:c r="D18" s="49"/>
      <s:c r="E18" s="50"/>
      <s:c r="F18" s="74"/>
      <s:c r="G18" s="79"/>
      <s:c r="H18" s="26"/>
      <s:c r="I18" s="80"/>
      <s:c r="J18" s="76"/>
      <s:c r="K18" s="26"/>
      <s:c r="L18" s="27"/>
      <s:c r="M18" s="79"/>
      <s:c r="N18" s="26"/>
      <s:c r="O18" s="80"/>
      <s:c r="P18" s="76"/>
      <s:c r="Q18" s="26"/>
      <s:c r="R18" s="27"/>
      <s:c r="S18" s="79"/>
      <s:c r="T18" s="26"/>
      <s:c r="U18" s="80"/>
      <s:c r="V18" s="76"/>
      <s:c r="W18" s="26"/>
      <s:c r="X18" s="27"/>
      <s:c r="Y18" s="79"/>
      <s:c r="Z18" s="26"/>
      <s:c r="AA18" s="80"/>
      <s:c r="AB18" s="76"/>
      <s:c r="AC18" s="26"/>
      <s:c r="AD18" s="27"/>
      <s:c r="AE18" s="79"/>
      <s:c r="AF18" s="26"/>
      <s:c r="AG18" s="80"/>
      <s:c r="AH18" s="76"/>
      <s:c r="AI18" s="26"/>
      <s:c r="AJ18" s="27"/>
      <s:c r="AK18" s="180">
        <s:v>1</s:v>
      </s:c>
      <s:c r="AL18" s="26"/>
      <s:c r="AM18" s="80"/>
      <s:c r="AN18" s="76"/>
      <s:c r="AO18" s="26"/>
      <s:c r="AP18" s="27"/>
      <s:c r="AQ18" s="79"/>
      <s:c r="AR18" s="26"/>
      <s:c r="AS18" s="80"/>
      <s:c r="AT18" s="76"/>
      <s:c r="AU18" s="26"/>
      <s:c r="AV18" s="27"/>
      <s:c r="AW18" s="79"/>
      <s:c r="AX18" s="26"/>
      <s:c r="AY18" s="80"/>
      <s:c r="AZ18" s="76"/>
      <s:c r="BA18" s="26"/>
      <s:c r="BB18" s="27"/>
      <s:c r="BC18" s="79"/>
      <s:c r="BD18" s="26"/>
      <s:c r="BE18" s="80"/>
      <s:c r="BF18" s="76"/>
      <s:c r="BG18" s="26"/>
      <s:c r="BH18" s="27"/>
      <s:c r="BI18" s="79"/>
      <s:c r="BJ18" s="26"/>
      <s:c r="BK18" s="80"/>
      <s:c r="BL18" s="76"/>
      <s:c r="BM18" s="26"/>
      <s:c r="BN18" s="27"/>
      <s:c r="BO18" s="79"/>
      <s:c r="BP18" s="26"/>
      <s:c r="BQ18" s="80"/>
      <s:c r="BR18" s="76"/>
      <s:c r="BS18" s="26"/>
      <s:c r="BT18" s="27"/>
      <s:c r="BU18" s="79"/>
      <s:c r="BV18" s="26"/>
      <s:c r="BW18" s="80"/>
      <s:c r="BX18" s="76"/>
      <s:c r="BY18" s="26"/>
      <s:c r="BZ18" s="27"/>
      <s:c r="CA18" s="79"/>
      <s:c r="CB18" s="26"/>
      <s:c r="CC18" s="80"/>
      <s:c r="CD18" s="76"/>
      <s:c r="CE18" s="26"/>
      <s:c r="CF18" s="27"/>
      <s:c r="CG18" s="79"/>
      <s:c r="CH18" s="26"/>
      <s:c r="CI18" s="80"/>
      <s:c r="CJ18" s="76"/>
      <s:c r="CK18" s="26"/>
      <s:c r="CL18" s="27"/>
      <s:c r="CM18" s="79"/>
      <s:c r="CN18" s="26"/>
      <s:c r="CO18" s="80"/>
      <s:c r="CP18" s="76"/>
      <s:c r="CQ18" s="26"/>
      <s:c r="CR18" s="27"/>
      <s:c r="CS18" s="62">
        <s:f>SUMIFS(D18:CR18,$D$3:$CR$3,"З")</s:f>
        <s:v>1</s:v>
      </s:c>
      <s:c r="CT18" s="63">
        <s:f>SUMIFS(D18:CR18,$D$3:$CR$3,"О")</s:f>
        <s:v>0</s:v>
      </s:c>
      <s:c r="CU18" s="63">
        <s:f>SUMIFS(D18:CR18,$D$3:$CR$3,"У")</s:f>
        <s:v>0</s:v>
      </s:c>
      <s:c r="CV18" s="28">
        <s:f>IF(C18="Да",CS18*$D$62+CT18*$D$63+CU18*$D$64,CS18*$C$62+CT18*$C$63+CU18*$C$64)</s:f>
        <s:v>800</s:v>
      </s:c>
      <s:c r="CW18" s="29">
        <s:f>IF(C18="Нет",CV18,"")</s:f>
        <s:v>800</s:v>
      </s:c>
      <s:c r="CX18" s="30" t="str">
        <s:f>IF(C18="Да",CV18,"")</s:f>
        <s:v/>
      </s:c>
      <s:c r="CY18" s="30" t="str">
        <s:f>IF(C18="Налич",CV18,"")</s:f>
        <s:v/>
      </s:c>
    </s:row>
    <s:row r="19" ht="21.75">
      <s:c r="A19" s="23">
        <s:v>106</s:v>
      </s:c>
      <s:c r="B19" s="24" t="s">
        <s:v>126</s:v>
      </s:c>
      <s:c r="C19" s="25" t="s">
        <s:v>17</s:v>
      </s:c>
      <s:c r="D19" s="49"/>
      <s:c r="E19" s="50"/>
      <s:c r="F19" s="74"/>
      <s:c r="G19" s="79"/>
      <s:c r="H19" s="26"/>
      <s:c r="I19" s="80"/>
      <s:c r="J19" s="76"/>
      <s:c r="K19" s="26"/>
      <s:c r="L19" s="27"/>
      <s:c r="M19" s="79"/>
      <s:c r="N19" s="26"/>
      <s:c r="O19" s="80"/>
      <s:c r="P19" s="76"/>
      <s:c r="Q19" s="26"/>
      <s:c r="R19" s="27"/>
      <s:c r="S19" s="79"/>
      <s:c r="T19" s="26"/>
      <s:c r="U19" s="80"/>
      <s:c r="V19" s="76"/>
      <s:c r="W19" s="26"/>
      <s:c r="X19" s="27"/>
      <s:c r="Y19" s="79"/>
      <s:c r="Z19" s="26"/>
      <s:c r="AA19" s="80"/>
      <s:c r="AB19" s="76"/>
      <s:c r="AC19" s="26"/>
      <s:c r="AD19" s="27"/>
      <s:c r="AE19" s="79"/>
      <s:c r="AF19" s="26"/>
      <s:c r="AG19" s="80"/>
      <s:c r="AH19" s="76"/>
      <s:c r="AI19" s="26"/>
      <s:c r="AJ19" s="27"/>
      <s:c r="AK19" s="79"/>
      <s:c r="AL19" s="26"/>
      <s:c r="AM19" s="182">
        <s:v>2</s:v>
      </s:c>
      <s:c r="AN19" s="183">
        <s:v>2</s:v>
      </s:c>
      <s:c r="AO19" s="26"/>
      <s:c r="AP19" s="27"/>
      <s:c r="AQ19" s="79"/>
      <s:c r="AR19" s="26"/>
      <s:c r="AS19" s="80"/>
      <s:c r="AT19" s="76"/>
      <s:c r="AU19" s="26"/>
      <s:c r="AV19" s="27"/>
      <s:c r="AW19" s="79"/>
      <s:c r="AX19" s="26"/>
      <s:c r="AY19" s="80"/>
      <s:c r="AZ19" s="76"/>
      <s:c r="BA19" s="26"/>
      <s:c r="BB19" s="27"/>
      <s:c r="BC19" s="79"/>
      <s:c r="BD19" s="26"/>
      <s:c r="BE19" s="80"/>
      <s:c r="BF19" s="76"/>
      <s:c r="BG19" s="26"/>
      <s:c r="BH19" s="27"/>
      <s:c r="BI19" s="79"/>
      <s:c r="BJ19" s="26"/>
      <s:c r="BK19" s="80"/>
      <s:c r="BL19" s="76"/>
      <s:c r="BM19" s="26"/>
      <s:c r="BN19" s="27"/>
      <s:c r="BO19" s="79"/>
      <s:c r="BP19" s="26"/>
      <s:c r="BQ19" s="80"/>
      <s:c r="BR19" s="76"/>
      <s:c r="BS19" s="26"/>
      <s:c r="BT19" s="27"/>
      <s:c r="BU19" s="79"/>
      <s:c r="BV19" s="26"/>
      <s:c r="BW19" s="80"/>
      <s:c r="BX19" s="76"/>
      <s:c r="BY19" s="26"/>
      <s:c r="BZ19" s="27"/>
      <s:c r="CA19" s="79"/>
      <s:c r="CB19" s="26"/>
      <s:c r="CC19" s="80"/>
      <s:c r="CD19" s="76"/>
      <s:c r="CE19" s="26"/>
      <s:c r="CF19" s="27"/>
      <s:c r="CG19" s="79"/>
      <s:c r="CH19" s="26"/>
      <s:c r="CI19" s="80"/>
      <s:c r="CJ19" s="76"/>
      <s:c r="CK19" s="26"/>
      <s:c r="CL19" s="27"/>
      <s:c r="CM19" s="79"/>
      <s:c r="CN19" s="26"/>
      <s:c r="CO19" s="80"/>
      <s:c r="CP19" s="76"/>
      <s:c r="CQ19" s="26"/>
      <s:c r="CR19" s="27"/>
      <s:c r="CS19" s="62">
        <s:f>SUMIFS(D19:CR19,$D$3:$CR$3,"З")</s:f>
        <s:v>2</s:v>
      </s:c>
      <s:c r="CT19" s="63">
        <s:f>SUMIFS(D19:CR19,$D$3:$CR$3,"О")</s:f>
        <s:v>0</s:v>
      </s:c>
      <s:c r="CU19" s="63">
        <s:f>SUMIFS(D19:CR19,$D$3:$CR$3,"У")</s:f>
        <s:v>2</s:v>
      </s:c>
      <s:c r="CV19" s="28">
        <s:f>IF(C19="Да",CS19*$D$62+CT19*$D$63+CU19*$D$64,CS19*$C$62+CT19*$C$63+CU19*$C$64)</s:f>
        <s:v>4026</s:v>
      </s:c>
      <s:c r="CW19" s="29" t="str">
        <s:f>IF(C19="Нет",CV19,"")</s:f>
        <s:v/>
      </s:c>
      <s:c r="CX19" s="30">
        <s:f>IF(C19="Да",CV19,"")</s:f>
        <s:v>4026</s:v>
      </s:c>
      <s:c r="CY19" s="30" t="str">
        <s:f>IF(C19="Налич",CV19,"")</s:f>
        <s:v/>
      </s:c>
    </s:row>
    <s:row r="20" ht="21.75">
      <s:c r="A20" s="215">
        <s:v>105</s:v>
      </s:c>
      <s:c r="B20" s="216" t="s">
        <s:v>133</s:v>
      </s:c>
      <s:c r="C20" s="217" t="s">
        <s:v>18</s:v>
      </s:c>
      <s:c r="D20" s="218"/>
      <s:c r="E20" s="219"/>
      <s:c r="F20" s="220"/>
      <s:c r="G20" s="221"/>
      <s:c r="H20" s="222"/>
      <s:c r="I20" s="223"/>
      <s:c r="J20" s="224"/>
      <s:c r="K20" s="222"/>
      <s:c r="L20" s="225"/>
      <s:c r="M20" s="221"/>
      <s:c r="N20" s="222"/>
      <s:c r="O20" s="223"/>
      <s:c r="P20" s="224"/>
      <s:c r="Q20" s="222"/>
      <s:c r="R20" s="225"/>
      <s:c r="S20" s="221"/>
      <s:c r="T20" s="222"/>
      <s:c r="U20" s="223"/>
      <s:c r="V20" s="224"/>
      <s:c r="W20" s="222"/>
      <s:c r="X20" s="225"/>
      <s:c r="Y20" s="221"/>
      <s:c r="Z20" s="222"/>
      <s:c r="AA20" s="223"/>
      <s:c r="AB20" s="224"/>
      <s:c r="AC20" s="222"/>
      <s:c r="AD20" s="225"/>
      <s:c r="AE20" s="221"/>
      <s:c r="AF20" s="222"/>
      <s:c r="AG20" s="223"/>
      <s:c r="AH20" s="224"/>
      <s:c r="AI20" s="222"/>
      <s:c r="AJ20" s="225"/>
      <s:c r="AK20" s="221"/>
      <s:c r="AL20" s="226"/>
      <s:c r="AM20" s="227">
        <s:v>2</s:v>
      </s:c>
      <s:c r="AN20" s="224"/>
      <s:c r="AO20" s="222"/>
      <s:c r="AP20" s="225"/>
      <s:c r="AQ20" s="221"/>
      <s:c r="AR20" s="222"/>
      <s:c r="AS20" s="223"/>
      <s:c r="AT20" s="224"/>
      <s:c r="AU20" s="222"/>
      <s:c r="AV20" s="225"/>
      <s:c r="AW20" s="221"/>
      <s:c r="AX20" s="222"/>
      <s:c r="AY20" s="223"/>
      <s:c r="AZ20" s="224"/>
      <s:c r="BA20" s="222"/>
      <s:c r="BB20" s="225"/>
      <s:c r="BC20" s="221"/>
      <s:c r="BD20" s="222"/>
      <s:c r="BE20" s="223"/>
      <s:c r="BF20" s="224"/>
      <s:c r="BG20" s="222"/>
      <s:c r="BH20" s="225"/>
      <s:c r="BI20" s="221"/>
      <s:c r="BJ20" s="222"/>
      <s:c r="BK20" s="223"/>
      <s:c r="BL20" s="224"/>
      <s:c r="BM20" s="222"/>
      <s:c r="BN20" s="225"/>
      <s:c r="BO20" s="221"/>
      <s:c r="BP20" s="222"/>
      <s:c r="BQ20" s="223"/>
      <s:c r="BR20" s="224"/>
      <s:c r="BS20" s="222"/>
      <s:c r="BT20" s="225"/>
      <s:c r="BU20" s="221"/>
      <s:c r="BV20" s="222"/>
      <s:c r="BW20" s="223"/>
      <s:c r="BX20" s="224"/>
      <s:c r="BY20" s="222"/>
      <s:c r="BZ20" s="225"/>
      <s:c r="CA20" s="221"/>
      <s:c r="CB20" s="222"/>
      <s:c r="CC20" s="223"/>
      <s:c r="CD20" s="224"/>
      <s:c r="CE20" s="222"/>
      <s:c r="CF20" s="225"/>
      <s:c r="CG20" s="221"/>
      <s:c r="CH20" s="222"/>
      <s:c r="CI20" s="223"/>
      <s:c r="CJ20" s="224"/>
      <s:c r="CK20" s="222"/>
      <s:c r="CL20" s="225"/>
      <s:c r="CM20" s="221"/>
      <s:c r="CN20" s="222"/>
      <s:c r="CO20" s="223"/>
      <s:c r="CP20" s="224"/>
      <s:c r="CQ20" s="222"/>
      <s:c r="CR20" s="225"/>
      <s:c r="CS20" s="228">
        <s:f>SUMIFS(D20:CR20,$D$3:$CR$3,"З")</s:f>
        <s:v>0</s:v>
      </s:c>
      <s:c r="CT20" s="229">
        <s:f>SUMIFS(D20:CR20,$D$3:$CR$3,"О")</s:f>
        <s:v>0</s:v>
      </s:c>
      <s:c r="CU20" s="229">
        <s:f>SUMIFS(D20:CR20,$D$3:$CR$3,"У")</s:f>
        <s:v>2</s:v>
      </s:c>
      <s:c r="CV20" s="230">
        <s:f>IF(C20="Да",CS20*$D$62+CT20*$D$63+CU20*$D$64,CS20*$C$62+CT20*$C$63+CU20*$C$64)</s:f>
        <s:v>1700</s:v>
      </s:c>
      <s:c r="CW20" s="231">
        <s:f>IF(C20="Нет",CV20,"")</s:f>
        <s:v>1700</s:v>
      </s:c>
      <s:c r="CX20" s="232" t="str">
        <s:f>IF(C20="Да",CV20,"")</s:f>
        <s:v/>
      </s:c>
      <s:c r="CY20" s="232" t="str">
        <s:f>IF(C20="Налич",CV20,"")</s:f>
        <s:v/>
      </s:c>
      <s:c r="CZ20" s="233">
        <s:v>-200</s:v>
      </s:c>
      <s:c r="DA20" s="234"/>
      <s:c r="DB20" s="234"/>
      <s:c r="DC20" s="234"/>
    </s:row>
    <s:row r="21" ht="21.75">
      <s:c r="A21" s="23">
        <s:v>106</s:v>
      </s:c>
      <s:c r="B21" s="200" t="s">
        <s:v>134</s:v>
      </s:c>
      <s:c r="C21" s="25" t="s">
        <s:v>18</s:v>
      </s:c>
      <s:c r="D21" s="49"/>
      <s:c r="E21" s="50"/>
      <s:c r="F21" s="74"/>
      <s:c r="G21" s="79"/>
      <s:c r="H21" s="26"/>
      <s:c r="I21" s="80"/>
      <s:c r="J21" s="76"/>
      <s:c r="K21" s="26"/>
      <s:c r="L21" s="27"/>
      <s:c r="M21" s="79"/>
      <s:c r="N21" s="26"/>
      <s:c r="O21" s="80"/>
      <s:c r="P21" s="76"/>
      <s:c r="Q21" s="26"/>
      <s:c r="R21" s="27"/>
      <s:c r="S21" s="79"/>
      <s:c r="T21" s="26"/>
      <s:c r="U21" s="80"/>
      <s:c r="V21" s="76"/>
      <s:c r="W21" s="26"/>
      <s:c r="X21" s="27"/>
      <s:c r="Y21" s="79"/>
      <s:c r="Z21" s="26"/>
      <s:c r="AA21" s="80"/>
      <s:c r="AB21" s="76"/>
      <s:c r="AC21" s="26"/>
      <s:c r="AD21" s="27"/>
      <s:c r="AE21" s="79"/>
      <s:c r="AF21" s="26"/>
      <s:c r="AG21" s="80"/>
      <s:c r="AH21" s="76"/>
      <s:c r="AI21" s="26"/>
      <s:c r="AJ21" s="27"/>
      <s:c r="AK21" s="79"/>
      <s:c r="AL21" s="26"/>
      <s:c r="AM21" s="80"/>
      <s:c r="AN21" s="76"/>
      <s:c r="AO21" s="26"/>
      <s:c r="AP21" s="27"/>
      <s:c r="AQ21" s="79"/>
      <s:c r="AR21" s="26"/>
      <s:c r="AS21" s="80"/>
      <s:c r="AT21" s="76"/>
      <s:c r="AU21" s="26"/>
      <s:c r="AV21" s="27"/>
      <s:c r="AW21" s="79"/>
      <s:c r="AX21" s="26"/>
      <s:c r="AY21" s="80"/>
      <s:c r="AZ21" s="76"/>
      <s:c r="BA21" s="26"/>
      <s:c r="BB21" s="27"/>
      <s:c r="BC21" s="79"/>
      <s:c r="BD21" s="26"/>
      <s:c r="BE21" s="80"/>
      <s:c r="BF21" s="76"/>
      <s:c r="BG21" s="26"/>
      <s:c r="BH21" s="27"/>
      <s:c r="BI21" s="79"/>
      <s:c r="BJ21" s="26"/>
      <s:c r="BK21" s="80"/>
      <s:c r="BL21" s="76"/>
      <s:c r="BM21" s="26"/>
      <s:c r="BN21" s="27"/>
      <s:c r="BO21" s="79"/>
      <s:c r="BP21" s="26"/>
      <s:c r="BQ21" s="80"/>
      <s:c r="BR21" s="76"/>
      <s:c r="BS21" s="26"/>
      <s:c r="BT21" s="27"/>
      <s:c r="BU21" s="79"/>
      <s:c r="BV21" s="26"/>
      <s:c r="BW21" s="80"/>
      <s:c r="BX21" s="76"/>
      <s:c r="BY21" s="26"/>
      <s:c r="BZ21" s="27"/>
      <s:c r="CA21" s="79"/>
      <s:c r="CB21" s="26"/>
      <s:c r="CC21" s="80"/>
      <s:c r="CD21" s="76"/>
      <s:c r="CE21" s="26"/>
      <s:c r="CF21" s="27"/>
      <s:c r="CG21" s="79"/>
      <s:c r="CH21" s="26"/>
      <s:c r="CI21" s="80"/>
      <s:c r="CJ21" s="76"/>
      <s:c r="CK21" s="26"/>
      <s:c r="CL21" s="27"/>
      <s:c r="CM21" s="79"/>
      <s:c r="CN21" s="26"/>
      <s:c r="CO21" s="80"/>
      <s:c r="CP21" s="76"/>
      <s:c r="CQ21" s="26"/>
      <s:c r="CR21" s="27"/>
      <s:c r="CS21" s="62">
        <s:f>SUMIFS(D21:CR21,$D$3:$CR$3,"З")</s:f>
        <s:v>0</s:v>
      </s:c>
      <s:c r="CT21" s="63">
        <s:f>SUMIFS(D21:CR21,$D$3:$CR$3,"О")</s:f>
        <s:v>0</s:v>
      </s:c>
      <s:c r="CU21" s="63">
        <s:f>SUMIFS(D21:CR21,$D$3:$CR$3,"У")</s:f>
        <s:v>0</s:v>
      </s:c>
      <s:c r="CV21" s="28">
        <s:f>IF(C21="Да",CS21*$D$62+CT21*$D$63+CU21*$D$64,CS21*$C$62+CT21*$C$63+CU21*$C$64)</s:f>
        <s:v>0</s:v>
      </s:c>
      <s:c r="CW21" s="29">
        <s:f>IF(C21="Нет",CV21,"")</s:f>
        <s:v>0</s:v>
      </s:c>
      <s:c r="CX21" s="30" t="str">
        <s:f>IF(C21="Да",CV21,"")</s:f>
        <s:v/>
      </s:c>
      <s:c r="CY21" s="30" t="str">
        <s:f>IF(C21="Налич",CV21,"")</s:f>
        <s:v/>
      </s:c>
    </s:row>
    <s:row r="22" ht="21.75">
      <s:c r="A22" s="23"/>
      <s:c r="B22" s="33" t="s">
        <s:v>137</s:v>
      </s:c>
      <s:c r="C22" s="34" t="s">
        <s:v>17</s:v>
      </s:c>
      <s:c r="D22" s="53"/>
      <s:c r="E22" s="54"/>
      <s:c r="F22" s="74"/>
      <s:c r="G22" s="79"/>
      <s:c r="H22" s="26"/>
      <s:c r="I22" s="80"/>
      <s:c r="J22" s="76"/>
      <s:c r="K22" s="26"/>
      <s:c r="L22" s="27"/>
      <s:c r="M22" s="79"/>
      <s:c r="N22" s="26"/>
      <s:c r="O22" s="80"/>
      <s:c r="P22" s="76"/>
      <s:c r="Q22" s="26"/>
      <s:c r="R22" s="27"/>
      <s:c r="S22" s="79"/>
      <s:c r="T22" s="26"/>
      <s:c r="U22" s="80"/>
      <s:c r="V22" s="76"/>
      <s:c r="W22" s="26"/>
      <s:c r="X22" s="27"/>
      <s:c r="Y22" s="79"/>
      <s:c r="Z22" s="26"/>
      <s:c r="AA22" s="80"/>
      <s:c r="AB22" s="76"/>
      <s:c r="AC22" s="26"/>
      <s:c r="AD22" s="27"/>
      <s:c r="AE22" s="79"/>
      <s:c r="AF22" s="26"/>
      <s:c r="AG22" s="80"/>
      <s:c r="AH22" s="76"/>
      <s:c r="AI22" s="26"/>
      <s:c r="AJ22" s="27"/>
      <s:c r="AK22" s="79"/>
      <s:c r="AL22" s="26"/>
      <s:c r="AM22" s="80"/>
      <s:c r="AN22" s="76"/>
      <s:c r="AO22" s="26"/>
      <s:c r="AP22" s="27"/>
      <s:c r="AQ22" s="79"/>
      <s:c r="AR22" s="26"/>
      <s:c r="AS22" s="80"/>
      <s:c r="AT22" s="201">
        <s:v>20</s:v>
      </s:c>
      <s:c r="AU22" s="26"/>
      <s:c r="AV22" s="27"/>
      <s:c r="AW22" s="79"/>
      <s:c r="AX22" s="26"/>
      <s:c r="AY22" s="80"/>
      <s:c r="AZ22" s="76"/>
      <s:c r="BA22" s="26"/>
      <s:c r="BB22" s="27"/>
      <s:c r="BC22" s="79"/>
      <s:c r="BD22" s="26"/>
      <s:c r="BE22" s="80"/>
      <s:c r="BF22" s="76"/>
      <s:c r="BG22" s="26"/>
      <s:c r="BH22" s="27"/>
      <s:c r="BI22" s="79"/>
      <s:c r="BJ22" s="26"/>
      <s:c r="BK22" s="80"/>
      <s:c r="BL22" s="76"/>
      <s:c r="BM22" s="26"/>
      <s:c r="BN22" s="27"/>
      <s:c r="BO22" s="79"/>
      <s:c r="BP22" s="26"/>
      <s:c r="BQ22" s="80"/>
      <s:c r="BR22" s="76"/>
      <s:c r="BS22" s="26"/>
      <s:c r="BT22" s="27"/>
      <s:c r="BU22" s="79"/>
      <s:c r="BV22" s="26"/>
      <s:c r="BW22" s="80"/>
      <s:c r="BX22" s="76"/>
      <s:c r="BY22" s="26"/>
      <s:c r="BZ22" s="27"/>
      <s:c r="CA22" s="79"/>
      <s:c r="CB22" s="26"/>
      <s:c r="CC22" s="80"/>
      <s:c r="CD22" s="76"/>
      <s:c r="CE22" s="26"/>
      <s:c r="CF22" s="27"/>
      <s:c r="CG22" s="79"/>
      <s:c r="CH22" s="26"/>
      <s:c r="CI22" s="80"/>
      <s:c r="CJ22" s="76"/>
      <s:c r="CK22" s="26"/>
      <s:c r="CL22" s="27"/>
      <s:c r="CM22" s="79"/>
      <s:c r="CN22" s="26"/>
      <s:c r="CO22" s="80"/>
      <s:c r="CP22" s="76"/>
      <s:c r="CQ22" s="26"/>
      <s:c r="CR22" s="27"/>
      <s:c r="CS22" s="62">
        <s:f>SUMIFS(D22:CR22,$D$3:$CR$3,"З")</s:f>
        <s:v>20</s:v>
      </s:c>
      <s:c r="CT22" s="63">
        <s:f>SUMIFS(D22:CR22,$D$3:$CR$3,"О")</s:f>
        <s:v>0</s:v>
      </s:c>
      <s:c r="CU22" s="63">
        <s:f>SUMIFS(D22:CR22,$D$3:$CR$3,"У")</s:f>
        <s:v>0</s:v>
      </s:c>
      <s:c r="CV22" s="28">
        <s:f>IF(C22="Да",CS22*$D$62+CT22*$D$63+CU22*$D$64,CS22*$C$62+CT22*$C$63+CU22*$C$64)</s:f>
        <s:v>19520</s:v>
      </s:c>
      <s:c r="CW22" s="29" t="str">
        <s:f>IF(C22="Нет",CV22,"")</s:f>
        <s:v/>
      </s:c>
      <s:c r="CX22" s="30">
        <s:f>IF(C22="Да",CV22,"")</s:f>
        <s:v>19520</s:v>
      </s:c>
      <s:c r="CY22" s="30" t="str">
        <s:f>IF(C22="Налич",CV22,"")</s:f>
        <s:v/>
      </s:c>
    </s:row>
    <s:row r="23" ht="21.75">
      <s:c r="A23" s="37"/>
      <s:c r="B23" s="24" t="s">
        <s:v>138</s:v>
      </s:c>
      <s:c r="C23" s="25" t="s">
        <s:v>17</s:v>
      </s:c>
      <s:c r="D23" s="49"/>
      <s:c r="E23" s="50"/>
      <s:c r="F23" s="74"/>
      <s:c r="G23" s="79"/>
      <s:c r="H23" s="26"/>
      <s:c r="I23" s="80"/>
      <s:c r="J23" s="76"/>
      <s:c r="K23" s="26"/>
      <s:c r="L23" s="27"/>
      <s:c r="M23" s="79"/>
      <s:c r="N23" s="26"/>
      <s:c r="O23" s="80"/>
      <s:c r="P23" s="76"/>
      <s:c r="Q23" s="26"/>
      <s:c r="R23" s="27"/>
      <s:c r="S23" s="79"/>
      <s:c r="T23" s="26"/>
      <s:c r="U23" s="80"/>
      <s:c r="V23" s="76"/>
      <s:c r="W23" s="26"/>
      <s:c r="X23" s="27"/>
      <s:c r="Y23" s="79"/>
      <s:c r="Z23" s="26"/>
      <s:c r="AA23" s="80"/>
      <s:c r="AB23" s="76"/>
      <s:c r="AC23" s="26"/>
      <s:c r="AD23" s="27"/>
      <s:c r="AE23" s="79"/>
      <s:c r="AF23" s="26"/>
      <s:c r="AG23" s="80"/>
      <s:c r="AH23" s="76"/>
      <s:c r="AI23" s="26"/>
      <s:c r="AJ23" s="27"/>
      <s:c r="AK23" s="79"/>
      <s:c r="AL23" s="26"/>
      <s:c r="AM23" s="80"/>
      <s:c r="AN23" s="76"/>
      <s:c r="AO23" s="26"/>
      <s:c r="AP23" s="27"/>
      <s:c r="AQ23" s="79"/>
      <s:c r="AR23" s="26"/>
      <s:c r="AS23" s="80"/>
      <s:c r="AT23" s="183">
        <s:v>6</s:v>
      </s:c>
      <s:c r="AU23" s="26"/>
      <s:c r="AV23" s="27"/>
      <s:c r="AW23" s="79"/>
      <s:c r="AX23" s="26"/>
      <s:c r="AY23" s="80"/>
      <s:c r="AZ23" s="76"/>
      <s:c r="BA23" s="26"/>
      <s:c r="BB23" s="27"/>
      <s:c r="BC23" s="79"/>
      <s:c r="BD23" s="26"/>
      <s:c r="BE23" s="80"/>
      <s:c r="BF23" s="76"/>
      <s:c r="BG23" s="26"/>
      <s:c r="BH23" s="27"/>
      <s:c r="BI23" s="79"/>
      <s:c r="BJ23" s="26"/>
      <s:c r="BK23" s="80"/>
      <s:c r="BL23" s="76"/>
      <s:c r="BM23" s="26"/>
      <s:c r="BN23" s="27"/>
      <s:c r="BO23" s="79"/>
      <s:c r="BP23" s="26"/>
      <s:c r="BQ23" s="80"/>
      <s:c r="BR23" s="76"/>
      <s:c r="BS23" s="26"/>
      <s:c r="BT23" s="27"/>
      <s:c r="BU23" s="79"/>
      <s:c r="BV23" s="26"/>
      <s:c r="BW23" s="80"/>
      <s:c r="BX23" s="76"/>
      <s:c r="BY23" s="26"/>
      <s:c r="BZ23" s="27"/>
      <s:c r="CA23" s="79"/>
      <s:c r="CB23" s="26"/>
      <s:c r="CC23" s="80"/>
      <s:c r="CD23" s="76"/>
      <s:c r="CE23" s="26"/>
      <s:c r="CF23" s="27"/>
      <s:c r="CG23" s="79"/>
      <s:c r="CH23" s="26"/>
      <s:c r="CI23" s="80"/>
      <s:c r="CJ23" s="76"/>
      <s:c r="CK23" s="26"/>
      <s:c r="CL23" s="27"/>
      <s:c r="CM23" s="79"/>
      <s:c r="CN23" s="26"/>
      <s:c r="CO23" s="80"/>
      <s:c r="CP23" s="76"/>
      <s:c r="CQ23" s="26"/>
      <s:c r="CR23" s="27"/>
      <s:c r="CS23" s="62">
        <s:f>SUMIFS(D23:CR23,$D$3:$CR$3,"З")</s:f>
        <s:v>6</s:v>
      </s:c>
      <s:c r="CT23" s="63">
        <s:f>SUMIFS(D23:CR23,$D$3:$CR$3,"О")</s:f>
        <s:v>0</s:v>
      </s:c>
      <s:c r="CU23" s="63">
        <s:f>SUMIFS(D23:CR23,$D$3:$CR$3,"У")</s:f>
        <s:v>0</s:v>
      </s:c>
      <s:c r="CV23" s="28">
        <s:f>IF(C23="Да",CS23*$D$62+CT23*$D$63+CU23*$D$64,CS23*$C$62+CT23*$C$63+CU23*$C$64)</s:f>
        <s:v>5856</s:v>
      </s:c>
      <s:c r="CW23" s="29" t="str">
        <s:f>IF(C23="Нет",CV23,"")</s:f>
        <s:v/>
      </s:c>
      <s:c r="CX23" s="30">
        <s:f>IF(C23="Да",CV23,"")</s:f>
        <s:v>5856</s:v>
      </s:c>
      <s:c r="CY23" s="30" t="str">
        <s:f>IF(C23="Налич",CV23,"")</s:f>
        <s:v/>
      </s:c>
    </s:row>
    <s:row r="24" ht="21.75">
      <s:c r="A24" s="37"/>
      <s:c r="B24" s="33" t="s">
        <s:v>139</s:v>
      </s:c>
      <s:c r="C24" s="34" t="s">
        <s:v>28</s:v>
      </s:c>
      <s:c r="D24" s="53"/>
      <s:c r="E24" s="54"/>
      <s:c r="F24" s="74"/>
      <s:c r="G24" s="79"/>
      <s:c r="H24" s="26"/>
      <s:c r="I24" s="80"/>
      <s:c r="J24" s="76"/>
      <s:c r="K24" s="26"/>
      <s:c r="L24" s="27"/>
      <s:c r="M24" s="79"/>
      <s:c r="N24" s="26"/>
      <s:c r="O24" s="80"/>
      <s:c r="P24" s="76"/>
      <s:c r="Q24" s="26"/>
      <s:c r="R24" s="27"/>
      <s:c r="S24" s="79"/>
      <s:c r="T24" s="26"/>
      <s:c r="U24" s="80"/>
      <s:c r="V24" s="76"/>
      <s:c r="W24" s="26"/>
      <s:c r="X24" s="27"/>
      <s:c r="Y24" s="79"/>
      <s:c r="Z24" s="26"/>
      <s:c r="AA24" s="80"/>
      <s:c r="AB24" s="76"/>
      <s:c r="AC24" s="26"/>
      <s:c r="AD24" s="27"/>
      <s:c r="AE24" s="79"/>
      <s:c r="AF24" s="26"/>
      <s:c r="AG24" s="80"/>
      <s:c r="AH24" s="76"/>
      <s:c r="AI24" s="26"/>
      <s:c r="AJ24" s="27"/>
      <s:c r="AK24" s="79"/>
      <s:c r="AL24" s="26"/>
      <s:c r="AM24" s="80"/>
      <s:c r="AN24" s="76"/>
      <s:c r="AO24" s="26"/>
      <s:c r="AP24" s="27"/>
      <s:c r="AQ24" s="79"/>
      <s:c r="AR24" s="26"/>
      <s:c r="AS24" s="80"/>
      <s:c r="AT24" s="76"/>
      <s:c r="AU24" s="26"/>
      <s:c r="AV24" s="27"/>
      <s:c r="AW24" s="79"/>
      <s:c r="AX24" s="181">
        <s:v>1</s:v>
      </s:c>
      <s:c r="AY24" s="80"/>
      <s:c r="AZ24" s="76"/>
      <s:c r="BA24" s="26"/>
      <s:c r="BB24" s="27"/>
      <s:c r="BC24" s="79"/>
      <s:c r="BD24" s="26"/>
      <s:c r="BE24" s="80"/>
      <s:c r="BF24" s="76"/>
      <s:c r="BG24" s="26"/>
      <s:c r="BH24" s="27"/>
      <s:c r="BI24" s="79"/>
      <s:c r="BJ24" s="26"/>
      <s:c r="BK24" s="80"/>
      <s:c r="BL24" s="76"/>
      <s:c r="BM24" s="26"/>
      <s:c r="BN24" s="27"/>
      <s:c r="BO24" s="79"/>
      <s:c r="BP24" s="26"/>
      <s:c r="BQ24" s="80"/>
      <s:c r="BR24" s="76"/>
      <s:c r="BS24" s="26"/>
      <s:c r="BT24" s="27"/>
      <s:c r="BU24" s="79"/>
      <s:c r="BV24" s="26"/>
      <s:c r="BW24" s="80"/>
      <s:c r="BX24" s="76"/>
      <s:c r="BY24" s="26"/>
      <s:c r="BZ24" s="27"/>
      <s:c r="CA24" s="79"/>
      <s:c r="CB24" s="26"/>
      <s:c r="CC24" s="80"/>
      <s:c r="CD24" s="76"/>
      <s:c r="CE24" s="26"/>
      <s:c r="CF24" s="27"/>
      <s:c r="CG24" s="79"/>
      <s:c r="CH24" s="26"/>
      <s:c r="CI24" s="80"/>
      <s:c r="CJ24" s="76"/>
      <s:c r="CK24" s="26"/>
      <s:c r="CL24" s="27"/>
      <s:c r="CM24" s="79"/>
      <s:c r="CN24" s="26"/>
      <s:c r="CO24" s="80"/>
      <s:c r="CP24" s="76"/>
      <s:c r="CQ24" s="26"/>
      <s:c r="CR24" s="27"/>
      <s:c r="CS24" s="62">
        <s:f>SUMIFS(D24:CR24,$D$3:$CR$3,"З")</s:f>
        <s:v>0</s:v>
      </s:c>
      <s:c r="CT24" s="63">
        <s:f>SUMIFS(D24:CR24,$D$3:$CR$3,"О")</s:f>
        <s:v>1</s:v>
      </s:c>
      <s:c r="CU24" s="63">
        <s:f>SUMIFS(D24:CR24,$D$3:$CR$3,"У")</s:f>
        <s:v>0</s:v>
      </s:c>
      <s:c r="CV24" s="28">
        <s:f>IF(C24="Да",CS24*$D$62+CT24*$D$63+CU24*$D$64,CS24*$C$62+CT24*$C$63+CU24*$C$64)</s:f>
        <s:v>1000</s:v>
      </s:c>
      <s:c r="CW24" s="29" t="str">
        <s:f>IF(C24="Нет",CV24,"")</s:f>
        <s:v/>
      </s:c>
      <s:c r="CX24" s="30" t="str">
        <s:f>IF(C24="Да",CV24,"")</s:f>
        <s:v/>
      </s:c>
      <s:c r="CY24" s="30">
        <s:f>IF(C24="Налич",CV24,"")</s:f>
        <s:v>1000</s:v>
      </s:c>
    </s:row>
    <s:row r="25" ht="21.75">
      <s:c r="A25" s="23"/>
      <s:c r="B25" s="33" t="s">
        <s:v>140</s:v>
      </s:c>
      <s:c r="C25" s="34" t="s">
        <s:v>18</s:v>
      </s:c>
      <s:c r="D25" s="53"/>
      <s:c r="E25" s="54"/>
      <s:c r="F25" s="74"/>
      <s:c r="G25" s="79"/>
      <s:c r="H25" s="26"/>
      <s:c r="I25" s="80"/>
      <s:c r="J25" s="76"/>
      <s:c r="K25" s="26"/>
      <s:c r="L25" s="27"/>
      <s:c r="M25" s="79"/>
      <s:c r="N25" s="26"/>
      <s:c r="O25" s="80"/>
      <s:c r="P25" s="76"/>
      <s:c r="Q25" s="26"/>
      <s:c r="R25" s="27"/>
      <s:c r="S25" s="79"/>
      <s:c r="T25" s="26"/>
      <s:c r="U25" s="80"/>
      <s:c r="V25" s="76"/>
      <s:c r="W25" s="26"/>
      <s:c r="X25" s="27"/>
      <s:c r="Y25" s="79"/>
      <s:c r="Z25" s="26"/>
      <s:c r="AA25" s="80"/>
      <s:c r="AB25" s="76"/>
      <s:c r="AC25" s="26"/>
      <s:c r="AD25" s="27"/>
      <s:c r="AE25" s="79"/>
      <s:c r="AF25" s="26"/>
      <s:c r="AG25" s="80"/>
      <s:c r="AH25" s="76"/>
      <s:c r="AI25" s="26"/>
      <s:c r="AJ25" s="27"/>
      <s:c r="AK25" s="79"/>
      <s:c r="AL25" s="26"/>
      <s:c r="AM25" s="80"/>
      <s:c r="AN25" s="76"/>
      <s:c r="AO25" s="26"/>
      <s:c r="AP25" s="27"/>
      <s:c r="AQ25" s="79"/>
      <s:c r="AR25" s="26"/>
      <s:c r="AS25" s="80"/>
      <s:c r="AT25" s="76"/>
      <s:c r="AU25" s="26"/>
      <s:c r="AV25" s="27"/>
      <s:c r="AW25" s="79"/>
      <s:c r="AX25" s="26"/>
      <s:c r="AY25" s="80"/>
      <s:c r="AZ25" s="76"/>
      <s:c r="BA25" s="26"/>
      <s:c r="BB25" s="27"/>
      <s:c r="BC25" s="180">
        <s:v>1</s:v>
      </s:c>
      <s:c r="BD25" s="26"/>
      <s:c r="BE25" s="80"/>
      <s:c r="BF25" s="183">
        <s:v>1</s:v>
      </s:c>
      <s:c r="BG25" s="26"/>
      <s:c r="BH25" s="27"/>
      <s:c r="BI25" s="79"/>
      <s:c r="BJ25" s="26"/>
      <s:c r="BK25" s="80"/>
      <s:c r="BL25" s="76"/>
      <s:c r="BM25" s="26"/>
      <s:c r="BN25" s="27"/>
      <s:c r="BO25" s="79"/>
      <s:c r="BP25" s="26"/>
      <s:c r="BQ25" s="80"/>
      <s:c r="BR25" s="76"/>
      <s:c r="BS25" s="26"/>
      <s:c r="BT25" s="27"/>
      <s:c r="BU25" s="79"/>
      <s:c r="BV25" s="26"/>
      <s:c r="BW25" s="80"/>
      <s:c r="BX25" s="76"/>
      <s:c r="BY25" s="26"/>
      <s:c r="BZ25" s="27"/>
      <s:c r="CA25" s="79"/>
      <s:c r="CB25" s="26"/>
      <s:c r="CC25" s="80"/>
      <s:c r="CD25" s="76"/>
      <s:c r="CE25" s="26"/>
      <s:c r="CF25" s="27"/>
      <s:c r="CG25" s="79"/>
      <s:c r="CH25" s="26"/>
      <s:c r="CI25" s="80"/>
      <s:c r="CJ25" s="76"/>
      <s:c r="CK25" s="26"/>
      <s:c r="CL25" s="27"/>
      <s:c r="CM25" s="79"/>
      <s:c r="CN25" s="26"/>
      <s:c r="CO25" s="80"/>
      <s:c r="CP25" s="76"/>
      <s:c r="CQ25" s="26"/>
      <s:c r="CR25" s="27"/>
      <s:c r="CS25" s="62">
        <s:f>SUMIFS(D25:CR25,$D$3:$CR$3,"З")</s:f>
        <s:v>2</s:v>
      </s:c>
      <s:c r="CT25" s="63">
        <s:f>SUMIFS(D25:CR25,$D$3:$CR$3,"О")</s:f>
        <s:v>0</s:v>
      </s:c>
      <s:c r="CU25" s="63">
        <s:f>SUMIFS(D25:CR25,$D$3:$CR$3,"У")</s:f>
        <s:v>0</s:v>
      </s:c>
      <s:c r="CV25" s="28">
        <s:f>IF(C25="Да",CS25*$D$62+CT25*$D$63+CU25*$D$64,CS25*$C$62+CT25*$C$63+CU25*$C$64)</s:f>
        <s:v>1600</s:v>
      </s:c>
      <s:c r="CW25" s="29">
        <s:f>IF(C25="Нет",CV25,"")</s:f>
        <s:v>1600</s:v>
      </s:c>
      <s:c r="CX25" s="30" t="str">
        <s:f>IF(C25="Да",CV25,"")</s:f>
        <s:v/>
      </s:c>
      <s:c r="CY25" s="30" t="str">
        <s:f>IF(C25="Налич",CV25,"")</s:f>
        <s:v/>
      </s:c>
    </s:row>
    <s:row r="26" ht="21.75">
      <s:c r="A26" s="23">
        <s:v>107</s:v>
      </s:c>
      <s:c r="B26" s="24" t="s">
        <s:v>141</s:v>
      </s:c>
      <s:c r="C26" s="25" t="s">
        <s:v>18</s:v>
      </s:c>
      <s:c r="D26" s="49"/>
      <s:c r="E26" s="50"/>
      <s:c r="F26" s="74"/>
      <s:c r="G26" s="79"/>
      <s:c r="H26" s="26"/>
      <s:c r="I26" s="80"/>
      <s:c r="J26" s="76"/>
      <s:c r="K26" s="26"/>
      <s:c r="L26" s="27"/>
      <s:c r="M26" s="79"/>
      <s:c r="N26" s="26"/>
      <s:c r="O26" s="80"/>
      <s:c r="P26" s="76"/>
      <s:c r="Q26" s="26"/>
      <s:c r="R26" s="27"/>
      <s:c r="S26" s="79"/>
      <s:c r="T26" s="26"/>
      <s:c r="U26" s="80"/>
      <s:c r="V26" s="76"/>
      <s:c r="W26" s="26"/>
      <s:c r="X26" s="27"/>
      <s:c r="Y26" s="79"/>
      <s:c r="Z26" s="26"/>
      <s:c r="AA26" s="80"/>
      <s:c r="AB26" s="76"/>
      <s:c r="AC26" s="26"/>
      <s:c r="AD26" s="27"/>
      <s:c r="AE26" s="79"/>
      <s:c r="AF26" s="26"/>
      <s:c r="AG26" s="80"/>
      <s:c r="AH26" s="76"/>
      <s:c r="AI26" s="26"/>
      <s:c r="AJ26" s="27"/>
      <s:c r="AK26" s="79"/>
      <s:c r="AL26" s="26"/>
      <s:c r="AM26" s="80"/>
      <s:c r="AN26" s="76"/>
      <s:c r="AO26" s="26"/>
      <s:c r="AP26" s="27"/>
      <s:c r="AQ26" s="79"/>
      <s:c r="AR26" s="26"/>
      <s:c r="AS26" s="80"/>
      <s:c r="AT26" s="76"/>
      <s:c r="AU26" s="26"/>
      <s:c r="AV26" s="27"/>
      <s:c r="AW26" s="79"/>
      <s:c r="AX26" s="26"/>
      <s:c r="AY26" s="80"/>
      <s:c r="AZ26" s="183"/>
      <s:c r="BA26" s="26"/>
      <s:c r="BB26" s="27"/>
      <s:c r="BC26" s="180">
        <s:v>1</s:v>
      </s:c>
      <s:c r="BD26" s="26"/>
      <s:c r="BE26" s="80"/>
      <s:c r="BF26" s="183">
        <s:v>1</s:v>
      </s:c>
      <s:c r="BG26" s="26"/>
      <s:c r="BH26" s="27"/>
      <s:c r="BI26" s="180">
        <s:v>1</s:v>
      </s:c>
      <s:c r="BJ26" s="26"/>
      <s:c r="BK26" s="80"/>
      <s:c r="BL26" s="76"/>
      <s:c r="BM26" s="26"/>
      <s:c r="BN26" s="27"/>
      <s:c r="BO26" s="79"/>
      <s:c r="BP26" s="26"/>
      <s:c r="BQ26" s="80"/>
      <s:c r="BR26" s="76"/>
      <s:c r="BS26" s="26"/>
      <s:c r="BT26" s="27"/>
      <s:c r="BU26" s="79"/>
      <s:c r="BV26" s="26"/>
      <s:c r="BW26" s="80"/>
      <s:c r="BX26" s="76"/>
      <s:c r="BY26" s="26"/>
      <s:c r="BZ26" s="27"/>
      <s:c r="CA26" s="79"/>
      <s:c r="CB26" s="26"/>
      <s:c r="CC26" s="80"/>
      <s:c r="CD26" s="76"/>
      <s:c r="CE26" s="26"/>
      <s:c r="CF26" s="27"/>
      <s:c r="CG26" s="79"/>
      <s:c r="CH26" s="26"/>
      <s:c r="CI26" s="80"/>
      <s:c r="CJ26" s="76"/>
      <s:c r="CK26" s="26"/>
      <s:c r="CL26" s="27"/>
      <s:c r="CM26" s="79"/>
      <s:c r="CN26" s="26"/>
      <s:c r="CO26" s="80"/>
      <s:c r="CP26" s="76"/>
      <s:c r="CQ26" s="26"/>
      <s:c r="CR26" s="27"/>
      <s:c r="CS26" s="62">
        <s:f>SUMIFS(D26:CR26,$D$3:$CR$3,"З")</s:f>
        <s:v>3</s:v>
      </s:c>
      <s:c r="CT26" s="63">
        <s:f>SUMIFS(D26:CR26,$D$3:$CR$3,"О")</s:f>
        <s:v>0</s:v>
      </s:c>
      <s:c r="CU26" s="63">
        <s:f>SUMIFS(D26:CR26,$D$3:$CR$3,"У")</s:f>
        <s:v>0</s:v>
      </s:c>
      <s:c r="CV26" s="28">
        <s:f>IF(C26="Да",CS26*$D$62+CT26*$D$63+CU26*$D$64,CS26*$C$62+CT26*$C$63+CU26*$C$64)</s:f>
        <s:v>2400</s:v>
      </s:c>
      <s:c r="CW26" s="29">
        <s:f>IF(C26="Нет",CV26,"")</s:f>
        <s:v>2400</s:v>
      </s:c>
      <s:c r="CX26" s="30" t="str">
        <s:f>IF(C26="Да",CV26,"")</s:f>
        <s:v/>
      </s:c>
      <s:c r="CY26" s="30" t="str">
        <s:f>IF(C26="Налич",CV26,"")</s:f>
        <s:v/>
      </s:c>
    </s:row>
    <s:row r="27" ht="21.75">
      <s:c r="A27" s="23">
        <s:v>106</s:v>
      </s:c>
      <s:c r="B27" s="24" t="s">
        <s:v>144</s:v>
      </s:c>
      <s:c r="C27" s="25" t="s">
        <s:v>17</s:v>
      </s:c>
      <s:c r="D27" s="49"/>
      <s:c r="E27" s="50"/>
      <s:c r="F27" s="74"/>
      <s:c r="G27" s="79"/>
      <s:c r="H27" s="26"/>
      <s:c r="I27" s="80"/>
      <s:c r="J27" s="76"/>
      <s:c r="K27" s="26"/>
      <s:c r="L27" s="27"/>
      <s:c r="M27" s="79"/>
      <s:c r="N27" s="26"/>
      <s:c r="O27" s="80"/>
      <s:c r="P27" s="76"/>
      <s:c r="Q27" s="26"/>
      <s:c r="R27" s="27"/>
      <s:c r="S27" s="79"/>
      <s:c r="T27" s="26"/>
      <s:c r="U27" s="80"/>
      <s:c r="V27" s="76"/>
      <s:c r="W27" s="26"/>
      <s:c r="X27" s="27"/>
      <s:c r="Y27" s="79"/>
      <s:c r="Z27" s="26"/>
      <s:c r="AA27" s="80"/>
      <s:c r="AB27" s="76"/>
      <s:c r="AC27" s="26"/>
      <s:c r="AD27" s="27"/>
      <s:c r="AE27" s="79"/>
      <s:c r="AF27" s="26"/>
      <s:c r="AG27" s="80"/>
      <s:c r="AH27" s="76"/>
      <s:c r="AI27" s="26"/>
      <s:c r="AJ27" s="27"/>
      <s:c r="AK27" s="79"/>
      <s:c r="AL27" s="26"/>
      <s:c r="AM27" s="80"/>
      <s:c r="AN27" s="76"/>
      <s:c r="AO27" s="26"/>
      <s:c r="AP27" s="27"/>
      <s:c r="AQ27" s="79"/>
      <s:c r="AR27" s="26"/>
      <s:c r="AS27" s="80"/>
      <s:c r="AT27" s="76"/>
      <s:c r="AU27" s="26"/>
      <s:c r="AV27" s="27"/>
      <s:c r="AW27" s="79"/>
      <s:c r="AX27" s="26"/>
      <s:c r="AY27" s="80"/>
      <s:c r="AZ27" s="76"/>
      <s:c r="BA27" s="26"/>
      <s:c r="BB27" s="184"/>
      <s:c r="BC27" s="180"/>
      <s:c r="BD27" s="26"/>
      <s:c r="BE27" s="182">
        <s:v>1</s:v>
      </s:c>
      <s:c r="BF27" s="183">
        <s:v>1</s:v>
      </s:c>
      <s:c r="BG27" s="26"/>
      <s:c r="BH27" s="27"/>
      <s:c r="BI27" s="79"/>
      <s:c r="BJ27" s="26"/>
      <s:c r="BK27" s="80"/>
      <s:c r="BL27" s="76"/>
      <s:c r="BM27" s="26"/>
      <s:c r="BN27" s="27"/>
      <s:c r="BO27" s="79"/>
      <s:c r="BP27" s="26"/>
      <s:c r="BQ27" s="80"/>
      <s:c r="BR27" s="76"/>
      <s:c r="BS27" s="26"/>
      <s:c r="BT27" s="27"/>
      <s:c r="BU27" s="79"/>
      <s:c r="BV27" s="26"/>
      <s:c r="BW27" s="80"/>
      <s:c r="BX27" s="76"/>
      <s:c r="BY27" s="26"/>
      <s:c r="BZ27" s="27"/>
      <s:c r="CA27" s="79"/>
      <s:c r="CB27" s="26"/>
      <s:c r="CC27" s="80"/>
      <s:c r="CD27" s="76"/>
      <s:c r="CE27" s="26"/>
      <s:c r="CF27" s="27"/>
      <s:c r="CG27" s="79"/>
      <s:c r="CH27" s="26"/>
      <s:c r="CI27" s="80"/>
      <s:c r="CJ27" s="76"/>
      <s:c r="CK27" s="26"/>
      <s:c r="CL27" s="27"/>
      <s:c r="CM27" s="79"/>
      <s:c r="CN27" s="26"/>
      <s:c r="CO27" s="80"/>
      <s:c r="CP27" s="76"/>
      <s:c r="CQ27" s="26"/>
      <s:c r="CR27" s="27"/>
      <s:c r="CS27" s="62">
        <s:f>SUMIFS(D27:CR27,$D$3:$CR$3,"З")</s:f>
        <s:v>1</s:v>
      </s:c>
      <s:c r="CT27" s="63">
        <s:f>SUMIFS(D27:CR27,$D$3:$CR$3,"О")</s:f>
        <s:v>0</s:v>
      </s:c>
      <s:c r="CU27" s="63">
        <s:f>SUMIFS(D27:CR27,$D$3:$CR$3,"У")</s:f>
        <s:v>1</s:v>
      </s:c>
      <s:c r="CV27" s="28">
        <s:f>IF(C27="Да",CS27*$D$62+CT27*$D$63+CU27*$D$64,CS27*$C$62+CT27*$C$63+CU27*$C$64)</s:f>
        <s:v>2013</s:v>
      </s:c>
      <s:c r="CW27" s="29" t="str">
        <s:f>IF(C27="Нет",CV27,"")</s:f>
        <s:v/>
      </s:c>
      <s:c r="CX27" s="30">
        <s:f>IF(C27="Да",CV27,"")</s:f>
        <s:v>2013</s:v>
      </s:c>
      <s:c r="CY27" s="30" t="str">
        <s:f>IF(C27="Налич",CV27,"")</s:f>
        <s:v/>
      </s:c>
    </s:row>
    <s:row r="28" ht="21.75">
      <s:c r="A28" s="5">
        <s:v>109</s:v>
      </s:c>
      <s:c r="B28" s="24" t="s">
        <s:v>145</s:v>
      </s:c>
      <s:c r="C28" s="25" t="s">
        <s:v>18</s:v>
      </s:c>
      <s:c r="D28" s="49"/>
      <s:c r="E28" s="50"/>
      <s:c r="F28" s="74"/>
      <s:c r="G28" s="79"/>
      <s:c r="H28" s="26"/>
      <s:c r="I28" s="80"/>
      <s:c r="J28" s="76"/>
      <s:c r="K28" s="26"/>
      <s:c r="L28" s="27"/>
      <s:c r="M28" s="79"/>
      <s:c r="N28" s="26"/>
      <s:c r="O28" s="80"/>
      <s:c r="P28" s="76"/>
      <s:c r="Q28" s="26"/>
      <s:c r="R28" s="27"/>
      <s:c r="S28" s="79"/>
      <s:c r="T28" s="26"/>
      <s:c r="U28" s="80"/>
      <s:c r="V28" s="76"/>
      <s:c r="W28" s="26"/>
      <s:c r="X28" s="27"/>
      <s:c r="Y28" s="79"/>
      <s:c r="Z28" s="26"/>
      <s:c r="AA28" s="80"/>
      <s:c r="AB28" s="76"/>
      <s:c r="AC28" s="26"/>
      <s:c r="AD28" s="27"/>
      <s:c r="AE28" s="79"/>
      <s:c r="AF28" s="26"/>
      <s:c r="AG28" s="80"/>
      <s:c r="AH28" s="76"/>
      <s:c r="AI28" s="26"/>
      <s:c r="AJ28" s="27"/>
      <s:c r="AK28" s="79"/>
      <s:c r="AL28" s="26"/>
      <s:c r="AM28" s="80"/>
      <s:c r="AN28" s="76"/>
      <s:c r="AO28" s="26"/>
      <s:c r="AP28" s="27"/>
      <s:c r="AQ28" s="79"/>
      <s:c r="AR28" s="26"/>
      <s:c r="AS28" s="80"/>
      <s:c r="AT28" s="76"/>
      <s:c r="AU28" s="26"/>
      <s:c r="AV28" s="27"/>
      <s:c r="AW28" s="79"/>
      <s:c r="AX28" s="26"/>
      <s:c r="AY28" s="80"/>
      <s:c r="AZ28" s="76"/>
      <s:c r="BA28" s="26"/>
      <s:c r="BB28" s="27"/>
      <s:c r="BC28" s="79"/>
      <s:c r="BD28" s="26"/>
      <s:c r="BE28" s="182"/>
      <s:c r="BF28" s="183">
        <s:v>1</s:v>
      </s:c>
      <s:c r="BG28" s="26"/>
      <s:c r="BH28" s="27"/>
      <s:c r="BI28" s="79"/>
      <s:c r="BJ28" s="26"/>
      <s:c r="BK28" s="80"/>
      <s:c r="BL28" s="76"/>
      <s:c r="BM28" s="26"/>
      <s:c r="BN28" s="27"/>
      <s:c r="BO28" s="79"/>
      <s:c r="BP28" s="26"/>
      <s:c r="BQ28" s="80"/>
      <s:c r="BR28" s="76"/>
      <s:c r="BS28" s="26"/>
      <s:c r="BT28" s="27"/>
      <s:c r="BU28" s="79"/>
      <s:c r="BV28" s="26"/>
      <s:c r="BW28" s="80"/>
      <s:c r="BX28" s="76"/>
      <s:c r="BY28" s="26"/>
      <s:c r="BZ28" s="27"/>
      <s:c r="CA28" s="79"/>
      <s:c r="CB28" s="26"/>
      <s:c r="CC28" s="80"/>
      <s:c r="CD28" s="76"/>
      <s:c r="CE28" s="26"/>
      <s:c r="CF28" s="27"/>
      <s:c r="CG28" s="79"/>
      <s:c r="CH28" s="26"/>
      <s:c r="CI28" s="80"/>
      <s:c r="CJ28" s="76"/>
      <s:c r="CK28" s="26"/>
      <s:c r="CL28" s="27"/>
      <s:c r="CM28" s="79"/>
      <s:c r="CN28" s="26"/>
      <s:c r="CO28" s="80"/>
      <s:c r="CP28" s="76"/>
      <s:c r="CQ28" s="26"/>
      <s:c r="CR28" s="27"/>
      <s:c r="CS28" s="62">
        <s:f>SUMIFS(D28:CR28,$D$3:$CR$3,"З")</s:f>
        <s:v>1</s:v>
      </s:c>
      <s:c r="CT28" s="63">
        <s:f>SUMIFS(D28:CR28,$D$3:$CR$3,"О")</s:f>
        <s:v>0</s:v>
      </s:c>
      <s:c r="CU28" s="63">
        <s:f>SUMIFS(D28:CR28,$D$3:$CR$3,"У")</s:f>
        <s:v>0</s:v>
      </s:c>
      <s:c r="CV28" s="28">
        <s:f>IF(C28="Да",CS28*$D$62+CT28*$D$63+CU28*$D$64,CS28*$C$62+CT28*$C$63+CU28*$C$64)</s:f>
        <s:v>800</s:v>
      </s:c>
      <s:c r="CW28" s="29">
        <s:f>IF(C28="Нет",CV28,"")</s:f>
        <s:v>800</s:v>
      </s:c>
      <s:c r="CX28" s="30" t="str">
        <s:f>IF(C28="Да",CV28,"")</s:f>
        <s:v/>
      </s:c>
      <s:c r="CY28" s="30" t="str">
        <s:f>IF(C28="Налич",CV28,"")</s:f>
        <s:v/>
      </s:c>
    </s:row>
    <s:row r="29" ht="21.75">
      <s:c r="A29" s="14">
        <s:v>105</s:v>
      </s:c>
      <s:c r="B29" s="24" t="s">
        <s:v>147</s:v>
      </s:c>
      <s:c r="C29" s="25" t="s">
        <s:v>18</s:v>
      </s:c>
      <s:c r="D29" s="49"/>
      <s:c r="E29" s="50"/>
      <s:c r="F29" s="74"/>
      <s:c r="G29" s="79"/>
      <s:c r="H29" s="26"/>
      <s:c r="I29" s="80"/>
      <s:c r="J29" s="76"/>
      <s:c r="K29" s="26"/>
      <s:c r="L29" s="27"/>
      <s:c r="M29" s="79"/>
      <s:c r="N29" s="26"/>
      <s:c r="O29" s="80"/>
      <s:c r="P29" s="76"/>
      <s:c r="Q29" s="26"/>
      <s:c r="R29" s="27"/>
      <s:c r="S29" s="79"/>
      <s:c r="T29" s="26"/>
      <s:c r="U29" s="80"/>
      <s:c r="V29" s="76"/>
      <s:c r="W29" s="26"/>
      <s:c r="X29" s="27"/>
      <s:c r="Y29" s="79"/>
      <s:c r="Z29" s="26"/>
      <s:c r="AA29" s="80"/>
      <s:c r="AB29" s="76"/>
      <s:c r="AC29" s="26"/>
      <s:c r="AD29" s="27"/>
      <s:c r="AE29" s="79"/>
      <s:c r="AF29" s="26"/>
      <s:c r="AG29" s="80"/>
      <s:c r="AH29" s="76"/>
      <s:c r="AI29" s="26"/>
      <s:c r="AJ29" s="27"/>
      <s:c r="AK29" s="79"/>
      <s:c r="AL29" s="26"/>
      <s:c r="AM29" s="80"/>
      <s:c r="AN29" s="76"/>
      <s:c r="AO29" s="26"/>
      <s:c r="AP29" s="27"/>
      <s:c r="AQ29" s="79"/>
      <s:c r="AR29" s="26"/>
      <s:c r="AS29" s="80"/>
      <s:c r="AT29" s="76"/>
      <s:c r="AU29" s="26"/>
      <s:c r="AV29" s="27"/>
      <s:c r="AW29" s="79"/>
      <s:c r="AX29" s="26"/>
      <s:c r="AY29" s="80"/>
      <s:c r="AZ29" s="76"/>
      <s:c r="BA29" s="26"/>
      <s:c r="BB29" s="27"/>
      <s:c r="BC29" s="79"/>
      <s:c r="BD29" s="26"/>
      <s:c r="BE29" s="80"/>
      <s:c r="BF29" s="183"/>
      <s:c r="BG29" s="26"/>
      <s:c r="BH29" s="27"/>
      <s:c r="BI29" s="180">
        <s:v>1</s:v>
      </s:c>
      <s:c r="BJ29" s="26"/>
      <s:c r="BK29" s="80"/>
      <s:c r="BL29" s="76"/>
      <s:c r="BM29" s="26"/>
      <s:c r="BN29" s="27"/>
      <s:c r="BO29" s="79"/>
      <s:c r="BP29" s="26"/>
      <s:c r="BQ29" s="80"/>
      <s:c r="BR29" s="76"/>
      <s:c r="BS29" s="26"/>
      <s:c r="BT29" s="27"/>
      <s:c r="BU29" s="79"/>
      <s:c r="BV29" s="26"/>
      <s:c r="BW29" s="80"/>
      <s:c r="BX29" s="76"/>
      <s:c r="BY29" s="26"/>
      <s:c r="BZ29" s="27"/>
      <s:c r="CA29" s="79"/>
      <s:c r="CB29" s="26"/>
      <s:c r="CC29" s="80"/>
      <s:c r="CD29" s="76"/>
      <s:c r="CE29" s="26"/>
      <s:c r="CF29" s="27"/>
      <s:c r="CG29" s="79"/>
      <s:c r="CH29" s="26"/>
      <s:c r="CI29" s="80"/>
      <s:c r="CJ29" s="76"/>
      <s:c r="CK29" s="26"/>
      <s:c r="CL29" s="27"/>
      <s:c r="CM29" s="79"/>
      <s:c r="CN29" s="26"/>
      <s:c r="CO29" s="80"/>
      <s:c r="CP29" s="76"/>
      <s:c r="CQ29" s="26"/>
      <s:c r="CR29" s="27"/>
      <s:c r="CS29" s="62">
        <s:f>SUMIFS(D29:CR29,$D$3:$CR$3,"З")</s:f>
        <s:v>1</s:v>
      </s:c>
      <s:c r="CT29" s="63">
        <s:f>SUMIFS(D29:CR29,$D$3:$CR$3,"О")</s:f>
        <s:v>0</s:v>
      </s:c>
      <s:c r="CU29" s="63">
        <s:f>SUMIFS(D29:CR29,$D$3:$CR$3,"У")</s:f>
        <s:v>0</s:v>
      </s:c>
      <s:c r="CV29" s="28">
        <s:f>IF(C29="Да",CS29*$D$62+CT29*$D$63+CU29*$D$64,CS29*$C$62+CT29*$C$63+CU29*$C$64)</s:f>
        <s:v>800</s:v>
      </s:c>
      <s:c r="CW29" s="29">
        <s:f>IF(C29="Нет",CV29,"")</s:f>
        <s:v>800</s:v>
      </s:c>
      <s:c r="CX29" s="30" t="str">
        <s:f>IF(C29="Да",CV29,"")</s:f>
        <s:v/>
      </s:c>
      <s:c r="CY29" s="30" t="str">
        <s:f>IF(C29="Налич",CV29,"")</s:f>
        <s:v/>
      </s:c>
    </s:row>
    <s:row r="30" ht="21.75">
      <s:c r="A30" s="23">
        <s:v>103</s:v>
      </s:c>
      <s:c r="B30" s="24" t="s">
        <s:v>148</s:v>
      </s:c>
      <s:c r="C30" s="25" t="s">
        <s:v>18</s:v>
      </s:c>
      <s:c r="D30" s="49"/>
      <s:c r="E30" s="50"/>
      <s:c r="F30" s="74"/>
      <s:c r="G30" s="79"/>
      <s:c r="H30" s="26"/>
      <s:c r="I30" s="80"/>
      <s:c r="J30" s="76"/>
      <s:c r="K30" s="26"/>
      <s:c r="L30" s="27"/>
      <s:c r="M30" s="79"/>
      <s:c r="N30" s="26"/>
      <s:c r="O30" s="80"/>
      <s:c r="P30" s="76"/>
      <s:c r="Q30" s="26"/>
      <s:c r="R30" s="27"/>
      <s:c r="S30" s="79"/>
      <s:c r="T30" s="26"/>
      <s:c r="U30" s="80"/>
      <s:c r="V30" s="76"/>
      <s:c r="W30" s="26"/>
      <s:c r="X30" s="27"/>
      <s:c r="Y30" s="79"/>
      <s:c r="Z30" s="26"/>
      <s:c r="AA30" s="80"/>
      <s:c r="AB30" s="76"/>
      <s:c r="AC30" s="26"/>
      <s:c r="AD30" s="27"/>
      <s:c r="AE30" s="79"/>
      <s:c r="AF30" s="26"/>
      <s:c r="AG30" s="80"/>
      <s:c r="AH30" s="76"/>
      <s:c r="AI30" s="26"/>
      <s:c r="AJ30" s="27"/>
      <s:c r="AK30" s="79"/>
      <s:c r="AL30" s="26"/>
      <s:c r="AM30" s="80"/>
      <s:c r="AN30" s="76"/>
      <s:c r="AO30" s="26"/>
      <s:c r="AP30" s="27"/>
      <s:c r="AQ30" s="79"/>
      <s:c r="AR30" s="26"/>
      <s:c r="AS30" s="80"/>
      <s:c r="AT30" s="76"/>
      <s:c r="AU30" s="26"/>
      <s:c r="AV30" s="27"/>
      <s:c r="AW30" s="79"/>
      <s:c r="AX30" s="26"/>
      <s:c r="AY30" s="80"/>
      <s:c r="AZ30" s="76"/>
      <s:c r="BA30" s="26"/>
      <s:c r="BB30" s="27"/>
      <s:c r="BC30" s="79"/>
      <s:c r="BD30" s="26"/>
      <s:c r="BE30" s="80"/>
      <s:c r="BF30" s="76"/>
      <s:c r="BG30" s="26"/>
      <s:c r="BH30" s="27"/>
      <s:c r="BI30" s="180">
        <s:v>1</s:v>
      </s:c>
      <s:c r="BJ30" s="26"/>
      <s:c r="BK30" s="80"/>
      <s:c r="BL30" s="76"/>
      <s:c r="BM30" s="26"/>
      <s:c r="BN30" s="27"/>
      <s:c r="BO30" s="79"/>
      <s:c r="BP30" s="26"/>
      <s:c r="BQ30" s="80"/>
      <s:c r="BR30" s="76"/>
      <s:c r="BS30" s="26"/>
      <s:c r="BT30" s="27"/>
      <s:c r="BU30" s="79"/>
      <s:c r="BV30" s="26"/>
      <s:c r="BW30" s="80"/>
      <s:c r="BX30" s="76"/>
      <s:c r="BY30" s="26"/>
      <s:c r="BZ30" s="27"/>
      <s:c r="CA30" s="79"/>
      <s:c r="CB30" s="26"/>
      <s:c r="CC30" s="80"/>
      <s:c r="CD30" s="76"/>
      <s:c r="CE30" s="26"/>
      <s:c r="CF30" s="27"/>
      <s:c r="CG30" s="79"/>
      <s:c r="CH30" s="26"/>
      <s:c r="CI30" s="80"/>
      <s:c r="CJ30" s="76"/>
      <s:c r="CK30" s="26"/>
      <s:c r="CL30" s="27"/>
      <s:c r="CM30" s="79"/>
      <s:c r="CN30" s="26"/>
      <s:c r="CO30" s="80"/>
      <s:c r="CP30" s="183"/>
      <s:c r="CQ30" s="26"/>
      <s:c r="CR30" s="27"/>
      <s:c r="CS30" s="62">
        <s:f>SUMIFS(D30:CR30,$D$3:$CR$3,"З")</s:f>
        <s:v>1</s:v>
      </s:c>
      <s:c r="CT30" s="63">
        <s:f>SUMIFS(D30:CR30,$D$3:$CR$3,"О")</s:f>
        <s:v>0</s:v>
      </s:c>
      <s:c r="CU30" s="63">
        <s:f>SUMIFS(D30:CR30,$D$3:$CR$3,"У")</s:f>
        <s:v>0</s:v>
      </s:c>
      <s:c r="CV30" s="28">
        <s:f>IF(C30="Да",CS30*$D$62+CT30*$D$63+CU30*$D$64,CS30*$C$62+CT30*$C$63+CU30*$C$64)</s:f>
        <s:v>800</s:v>
      </s:c>
      <s:c r="CW30" s="29">
        <s:f>IF(C30="Нет",CV30,"")</s:f>
        <s:v>800</s:v>
      </s:c>
      <s:c r="CX30" s="30" t="str">
        <s:f>IF(C30="Да",CV30,"")</s:f>
        <s:v/>
      </s:c>
      <s:c r="CY30" s="30" t="str">
        <s:f>IF(C30="Налич",CV30,"")</s:f>
        <s:v/>
      </s:c>
    </s:row>
    <s:row r="31" ht="21.75">
      <s:c r="A31" s="23">
        <s:v>109</s:v>
      </s:c>
      <s:c r="B31" s="24" t="s">
        <s:v>149</s:v>
      </s:c>
      <s:c r="C31" s="25" t="s">
        <s:v>18</s:v>
      </s:c>
      <s:c r="D31" s="49"/>
      <s:c r="E31" s="50"/>
      <s:c r="F31" s="74"/>
      <s:c r="G31" s="79"/>
      <s:c r="H31" s="26"/>
      <s:c r="I31" s="80"/>
      <s:c r="J31" s="76"/>
      <s:c r="K31" s="26"/>
      <s:c r="L31" s="27"/>
      <s:c r="M31" s="79"/>
      <s:c r="N31" s="26"/>
      <s:c r="O31" s="80"/>
      <s:c r="P31" s="76"/>
      <s:c r="Q31" s="26"/>
      <s:c r="R31" s="27"/>
      <s:c r="S31" s="79"/>
      <s:c r="T31" s="26"/>
      <s:c r="U31" s="80"/>
      <s:c r="V31" s="76"/>
      <s:c r="W31" s="26"/>
      <s:c r="X31" s="27"/>
      <s:c r="Y31" s="79"/>
      <s:c r="Z31" s="26"/>
      <s:c r="AA31" s="80"/>
      <s:c r="AB31" s="76"/>
      <s:c r="AC31" s="26"/>
      <s:c r="AD31" s="27"/>
      <s:c r="AE31" s="79"/>
      <s:c r="AF31" s="26"/>
      <s:c r="AG31" s="80"/>
      <s:c r="AH31" s="76"/>
      <s:c r="AI31" s="26"/>
      <s:c r="AJ31" s="27"/>
      <s:c r="AK31" s="79"/>
      <s:c r="AL31" s="26"/>
      <s:c r="AM31" s="80"/>
      <s:c r="AN31" s="76"/>
      <s:c r="AO31" s="26"/>
      <s:c r="AP31" s="27"/>
      <s:c r="AQ31" s="79"/>
      <s:c r="AR31" s="26"/>
      <s:c r="AS31" s="80"/>
      <s:c r="AT31" s="76"/>
      <s:c r="AU31" s="26"/>
      <s:c r="AV31" s="27"/>
      <s:c r="AW31" s="79"/>
      <s:c r="AX31" s="26"/>
      <s:c r="AY31" s="80"/>
      <s:c r="AZ31" s="76"/>
      <s:c r="BA31" s="26"/>
      <s:c r="BB31" s="27"/>
      <s:c r="BC31" s="79"/>
      <s:c r="BD31" s="26"/>
      <s:c r="BE31" s="80"/>
      <s:c r="BF31" s="76"/>
      <s:c r="BG31" s="26"/>
      <s:c r="BH31" s="27"/>
      <s:c r="BI31" s="180">
        <s:v>1</s:v>
      </s:c>
      <s:c r="BJ31" s="26"/>
      <s:c r="BK31" s="80"/>
      <s:c r="BL31" s="76"/>
      <s:c r="BM31" s="26"/>
      <s:c r="BN31" s="27"/>
      <s:c r="BO31" s="79"/>
      <s:c r="BP31" s="26"/>
      <s:c r="BQ31" s="80"/>
      <s:c r="BR31" s="76"/>
      <s:c r="BS31" s="26"/>
      <s:c r="BT31" s="27"/>
      <s:c r="BU31" s="79"/>
      <s:c r="BV31" s="26"/>
      <s:c r="BW31" s="80"/>
      <s:c r="BX31" s="76"/>
      <s:c r="BY31" s="26"/>
      <s:c r="BZ31" s="27"/>
      <s:c r="CA31" s="79"/>
      <s:c r="CB31" s="26"/>
      <s:c r="CC31" s="80"/>
      <s:c r="CD31" s="76"/>
      <s:c r="CE31" s="26"/>
      <s:c r="CF31" s="27"/>
      <s:c r="CG31" s="79"/>
      <s:c r="CH31" s="26"/>
      <s:c r="CI31" s="80"/>
      <s:c r="CJ31" s="76"/>
      <s:c r="CK31" s="26"/>
      <s:c r="CL31" s="27"/>
      <s:c r="CM31" s="79"/>
      <s:c r="CN31" s="26"/>
      <s:c r="CO31" s="80"/>
      <s:c r="CP31" s="76"/>
      <s:c r="CQ31" s="26"/>
      <s:c r="CR31" s="27"/>
      <s:c r="CS31" s="62">
        <s:f>SUMIFS(D31:CR31,$D$3:$CR$3,"З")</s:f>
        <s:v>1</s:v>
      </s:c>
      <s:c r="CT31" s="63">
        <s:f>SUMIFS(D31:CR31,$D$3:$CR$3,"О")</s:f>
        <s:v>0</s:v>
      </s:c>
      <s:c r="CU31" s="63">
        <s:f>SUMIFS(D31:CR31,$D$3:$CR$3,"У")</s:f>
        <s:v>0</s:v>
      </s:c>
      <s:c r="CV31" s="28">
        <s:f>IF(C31="Да",CS31*$D$62+CT31*$D$63+CU31*$D$64,CS31*$C$62+CT31*$C$63+CU31*$C$64)</s:f>
        <s:v>800</s:v>
      </s:c>
      <s:c r="CW31" s="29">
        <s:f>IF(C31="Нет",CV31,"")</s:f>
        <s:v>800</s:v>
      </s:c>
      <s:c r="CX31" s="30" t="str">
        <s:f>IF(C31="Да",CV31,"")</s:f>
        <s:v/>
      </s:c>
      <s:c r="CY31" s="30" t="str">
        <s:f>IF(C31="Налич",CV31,"")</s:f>
        <s:v/>
      </s:c>
    </s:row>
    <s:row r="32" ht="21.75">
      <s:c r="A32" s="23">
        <s:v>109</s:v>
      </s:c>
      <s:c r="B32" s="33" t="s">
        <s:v>150</s:v>
      </s:c>
      <s:c r="C32" s="34" t="s">
        <s:v>17</s:v>
      </s:c>
      <s:c r="D32" s="53"/>
      <s:c r="E32" s="54"/>
      <s:c r="F32" s="74"/>
      <s:c r="G32" s="79"/>
      <s:c r="H32" s="26"/>
      <s:c r="I32" s="80"/>
      <s:c r="J32" s="76"/>
      <s:c r="K32" s="26"/>
      <s:c r="L32" s="27"/>
      <s:c r="M32" s="79"/>
      <s:c r="N32" s="26"/>
      <s:c r="O32" s="80"/>
      <s:c r="P32" s="76"/>
      <s:c r="Q32" s="26"/>
      <s:c r="R32" s="27"/>
      <s:c r="S32" s="79"/>
      <s:c r="T32" s="26"/>
      <s:c r="U32" s="80"/>
      <s:c r="V32" s="76"/>
      <s:c r="W32" s="26"/>
      <s:c r="X32" s="27"/>
      <s:c r="Y32" s="79"/>
      <s:c r="Z32" s="26"/>
      <s:c r="AA32" s="80"/>
      <s:c r="AB32" s="76"/>
      <s:c r="AC32" s="26"/>
      <s:c r="AD32" s="27"/>
      <s:c r="AE32" s="79"/>
      <s:c r="AF32" s="26"/>
      <s:c r="AG32" s="80"/>
      <s:c r="AH32" s="76"/>
      <s:c r="AI32" s="26"/>
      <s:c r="AJ32" s="27"/>
      <s:c r="AK32" s="79"/>
      <s:c r="AL32" s="26"/>
      <s:c r="AM32" s="80"/>
      <s:c r="AN32" s="76"/>
      <s:c r="AO32" s="26"/>
      <s:c r="AP32" s="27"/>
      <s:c r="AQ32" s="79"/>
      <s:c r="AR32" s="26"/>
      <s:c r="AS32" s="80"/>
      <s:c r="AT32" s="76"/>
      <s:c r="AU32" s="26"/>
      <s:c r="AV32" s="27"/>
      <s:c r="AW32" s="79"/>
      <s:c r="AX32" s="26"/>
      <s:c r="AY32" s="80"/>
      <s:c r="AZ32" s="76"/>
      <s:c r="BA32" s="26"/>
      <s:c r="BB32" s="27"/>
      <s:c r="BC32" s="79"/>
      <s:c r="BD32" s="26"/>
      <s:c r="BE32" s="80"/>
      <s:c r="BF32" s="76"/>
      <s:c r="BG32" s="26"/>
      <s:c r="BH32" s="27"/>
      <s:c r="BI32" s="79"/>
      <s:c r="BJ32" s="26"/>
      <s:c r="BK32" s="80"/>
      <s:c r="BL32" s="183">
        <s:v>1</s:v>
      </s:c>
      <s:c r="BM32" s="26"/>
      <s:c r="BN32" s="27"/>
      <s:c r="BO32" s="79"/>
      <s:c r="BP32" s="26"/>
      <s:c r="BQ32" s="80"/>
      <s:c r="BR32" s="76"/>
      <s:c r="BS32" s="26"/>
      <s:c r="BT32" s="27"/>
      <s:c r="BU32" s="79"/>
      <s:c r="BV32" s="26"/>
      <s:c r="BW32" s="80"/>
      <s:c r="BX32" s="76"/>
      <s:c r="BY32" s="26"/>
      <s:c r="BZ32" s="27"/>
      <s:c r="CA32" s="79"/>
      <s:c r="CB32" s="26"/>
      <s:c r="CC32" s="80"/>
      <s:c r="CD32" s="76"/>
      <s:c r="CE32" s="26"/>
      <s:c r="CF32" s="27"/>
      <s:c r="CG32" s="79"/>
      <s:c r="CH32" s="26"/>
      <s:c r="CI32" s="80"/>
      <s:c r="CJ32" s="76"/>
      <s:c r="CK32" s="26"/>
      <s:c r="CL32" s="27"/>
      <s:c r="CM32" s="79"/>
      <s:c r="CN32" s="26"/>
      <s:c r="CO32" s="80"/>
      <s:c r="CP32" s="76"/>
      <s:c r="CQ32" s="26"/>
      <s:c r="CR32" s="27"/>
      <s:c r="CS32" s="62">
        <s:f>SUMIFS(D32:CR32,$D$3:$CR$3,"З")</s:f>
        <s:v>1</s:v>
      </s:c>
      <s:c r="CT32" s="63">
        <s:f>SUMIFS(D32:CR32,$D$3:$CR$3,"О")</s:f>
        <s:v>0</s:v>
      </s:c>
      <s:c r="CU32" s="63">
        <s:f>SUMIFS(D32:CR32,$D$3:$CR$3,"У")</s:f>
        <s:v>0</s:v>
      </s:c>
      <s:c r="CV32" s="28">
        <s:f>IF(C32="Да",CS32*$D$62+CT32*$D$63+CU32*$D$64,CS32*$C$62+CT32*$C$63+CU32*$C$64)</s:f>
        <s:v>976</s:v>
      </s:c>
      <s:c r="CW32" s="29" t="str">
        <s:f>IF(C32="Нет",CV32,"")</s:f>
        <s:v/>
      </s:c>
      <s:c r="CX32" s="30">
        <s:f>IF(C32="Да",CV32,"")</s:f>
        <s:v>976</s:v>
      </s:c>
      <s:c r="CY32" s="30" t="str">
        <s:f>IF(C32="Налич",CV32,"")</s:f>
        <s:v/>
      </s:c>
    </s:row>
    <s:row r="33" ht="21.75">
      <s:c r="A33" s="23">
        <s:v>107</s:v>
      </s:c>
      <s:c r="B33" s="35" t="s">
        <s:v>151</s:v>
      </s:c>
      <s:c r="C33" s="36" t="s">
        <s:v>17</s:v>
      </s:c>
      <s:c r="D33" s="49"/>
      <s:c r="E33" s="50"/>
      <s:c r="F33" s="74"/>
      <s:c r="G33" s="79"/>
      <s:c r="H33" s="26"/>
      <s:c r="I33" s="80"/>
      <s:c r="J33" s="76"/>
      <s:c r="K33" s="26"/>
      <s:c r="L33" s="27"/>
      <s:c r="M33" s="79"/>
      <s:c r="N33" s="26"/>
      <s:c r="O33" s="80"/>
      <s:c r="P33" s="76"/>
      <s:c r="Q33" s="26"/>
      <s:c r="R33" s="27"/>
      <s:c r="S33" s="79"/>
      <s:c r="T33" s="26"/>
      <s:c r="U33" s="80"/>
      <s:c r="V33" s="76"/>
      <s:c r="W33" s="26"/>
      <s:c r="X33" s="27"/>
      <s:c r="Y33" s="79"/>
      <s:c r="Z33" s="26"/>
      <s:c r="AA33" s="80"/>
      <s:c r="AB33" s="76"/>
      <s:c r="AC33" s="26"/>
      <s:c r="AD33" s="27"/>
      <s:c r="AE33" s="79"/>
      <s:c r="AF33" s="26"/>
      <s:c r="AG33" s="80"/>
      <s:c r="AH33" s="76"/>
      <s:c r="AI33" s="26"/>
      <s:c r="AJ33" s="27"/>
      <s:c r="AK33" s="79"/>
      <s:c r="AL33" s="26"/>
      <s:c r="AM33" s="80"/>
      <s:c r="AN33" s="76"/>
      <s:c r="AO33" s="26"/>
      <s:c r="AP33" s="27"/>
      <s:c r="AQ33" s="79"/>
      <s:c r="AR33" s="26"/>
      <s:c r="AS33" s="80"/>
      <s:c r="AT33" s="76"/>
      <s:c r="AU33" s="26"/>
      <s:c r="AV33" s="27"/>
      <s:c r="AW33" s="79"/>
      <s:c r="AX33" s="26"/>
      <s:c r="AY33" s="80"/>
      <s:c r="AZ33" s="76"/>
      <s:c r="BA33" s="26"/>
      <s:c r="BB33" s="27"/>
      <s:c r="BC33" s="79"/>
      <s:c r="BD33" s="26"/>
      <s:c r="BE33" s="80"/>
      <s:c r="BF33" s="76"/>
      <s:c r="BG33" s="26"/>
      <s:c r="BH33" s="27"/>
      <s:c r="BI33" s="79"/>
      <s:c r="BJ33" s="26"/>
      <s:c r="BK33" s="80"/>
      <s:c r="BL33" s="183">
        <s:v>1</s:v>
      </s:c>
      <s:c r="BM33" s="26"/>
      <s:c r="BN33" s="27"/>
      <s:c r="BO33" s="79"/>
      <s:c r="BP33" s="26"/>
      <s:c r="BQ33" s="80"/>
      <s:c r="BR33" s="76"/>
      <s:c r="BS33" s="26"/>
      <s:c r="BT33" s="27"/>
      <s:c r="BU33" s="79"/>
      <s:c r="BV33" s="26"/>
      <s:c r="BW33" s="80"/>
      <s:c r="BX33" s="76"/>
      <s:c r="BY33" s="26"/>
      <s:c r="BZ33" s="27"/>
      <s:c r="CA33" s="79"/>
      <s:c r="CB33" s="26"/>
      <s:c r="CC33" s="80"/>
      <s:c r="CD33" s="76"/>
      <s:c r="CE33" s="26"/>
      <s:c r="CF33" s="27"/>
      <s:c r="CG33" s="79"/>
      <s:c r="CH33" s="26"/>
      <s:c r="CI33" s="80"/>
      <s:c r="CJ33" s="76"/>
      <s:c r="CK33" s="26"/>
      <s:c r="CL33" s="27"/>
      <s:c r="CM33" s="79"/>
      <s:c r="CN33" s="26"/>
      <s:c r="CO33" s="80"/>
      <s:c r="CP33" s="76"/>
      <s:c r="CQ33" s="26"/>
      <s:c r="CR33" s="27"/>
      <s:c r="CS33" s="62">
        <s:f>SUMIFS(D33:CR33,$D$3:$CR$3,"З")</s:f>
        <s:v>1</s:v>
      </s:c>
      <s:c r="CT33" s="63">
        <s:f>SUMIFS(D33:CR33,$D$3:$CR$3,"О")</s:f>
        <s:v>0</s:v>
      </s:c>
      <s:c r="CU33" s="63">
        <s:f>SUMIFS(D33:CR33,$D$3:$CR$3,"У")</s:f>
        <s:v>0</s:v>
      </s:c>
      <s:c r="CV33" s="28">
        <s:f>IF(C33="Да",CS33*$D$62+CT33*$D$63+CU33*$D$64,CS33*$C$62+CT33*$C$63+CU33*$C$64)</s:f>
        <s:v>976</s:v>
      </s:c>
      <s:c r="CW33" s="29" t="str">
        <s:f>IF(C33="Нет",CV33,"")</s:f>
        <s:v/>
      </s:c>
      <s:c r="CX33" s="30">
        <s:f>IF(C33="Да",CV33,"")</s:f>
        <s:v>976</s:v>
      </s:c>
      <s:c r="CY33" s="30" t="str">
        <s:f>IF(C33="Налич",CV33,"")</s:f>
        <s:v/>
      </s:c>
    </s:row>
    <s:row r="34" ht="21.75">
      <s:c r="A34" s="23">
        <s:v>108</s:v>
      </s:c>
      <s:c r="B34" s="35" t="s">
        <s:v>152</s:v>
      </s:c>
      <s:c r="C34" s="36" t="s">
        <s:v>17</s:v>
      </s:c>
      <s:c r="D34" s="49"/>
      <s:c r="E34" s="50"/>
      <s:c r="F34" s="74"/>
      <s:c r="G34" s="79"/>
      <s:c r="H34" s="26"/>
      <s:c r="I34" s="80"/>
      <s:c r="J34" s="76"/>
      <s:c r="K34" s="26"/>
      <s:c r="L34" s="27"/>
      <s:c r="M34" s="79"/>
      <s:c r="N34" s="26"/>
      <s:c r="O34" s="80"/>
      <s:c r="P34" s="76"/>
      <s:c r="Q34" s="26"/>
      <s:c r="R34" s="27"/>
      <s:c r="S34" s="79"/>
      <s:c r="T34" s="26"/>
      <s:c r="U34" s="80"/>
      <s:c r="V34" s="76"/>
      <s:c r="W34" s="26"/>
      <s:c r="X34" s="27"/>
      <s:c r="Y34" s="79"/>
      <s:c r="Z34" s="26"/>
      <s:c r="AA34" s="80"/>
      <s:c r="AB34" s="76"/>
      <s:c r="AC34" s="26"/>
      <s:c r="AD34" s="27"/>
      <s:c r="AE34" s="79"/>
      <s:c r="AF34" s="26"/>
      <s:c r="AG34" s="80"/>
      <s:c r="AH34" s="76"/>
      <s:c r="AI34" s="26"/>
      <s:c r="AJ34" s="27"/>
      <s:c r="AK34" s="79"/>
      <s:c r="AL34" s="26"/>
      <s:c r="AM34" s="80"/>
      <s:c r="AN34" s="76"/>
      <s:c r="AO34" s="26"/>
      <s:c r="AP34" s="27"/>
      <s:c r="AQ34" s="79"/>
      <s:c r="AR34" s="26"/>
      <s:c r="AS34" s="80"/>
      <s:c r="AT34" s="76"/>
      <s:c r="AU34" s="26"/>
      <s:c r="AV34" s="27"/>
      <s:c r="AW34" s="79"/>
      <s:c r="AX34" s="26"/>
      <s:c r="AY34" s="80"/>
      <s:c r="AZ34" s="76"/>
      <s:c r="BA34" s="26"/>
      <s:c r="BB34" s="27"/>
      <s:c r="BC34" s="79"/>
      <s:c r="BD34" s="26"/>
      <s:c r="BE34" s="80"/>
      <s:c r="BF34" s="76"/>
      <s:c r="BG34" s="26"/>
      <s:c r="BH34" s="27"/>
      <s:c r="BI34" s="79"/>
      <s:c r="BJ34" s="26"/>
      <s:c r="BK34" s="80"/>
      <s:c r="BL34" s="76"/>
      <s:c r="BM34" s="181">
        <s:v>1</s:v>
      </s:c>
      <s:c r="BN34" s="27"/>
      <s:c r="BO34" s="79"/>
      <s:c r="BP34" s="26"/>
      <s:c r="BQ34" s="80"/>
      <s:c r="BR34" s="76"/>
      <s:c r="BS34" s="26"/>
      <s:c r="BT34" s="27"/>
      <s:c r="BU34" s="79"/>
      <s:c r="BV34" s="26"/>
      <s:c r="BW34" s="80"/>
      <s:c r="BX34" s="76"/>
      <s:c r="BY34" s="26"/>
      <s:c r="BZ34" s="27"/>
      <s:c r="CA34" s="79"/>
      <s:c r="CB34" s="26"/>
      <s:c r="CC34" s="80"/>
      <s:c r="CD34" s="76"/>
      <s:c r="CE34" s="26"/>
      <s:c r="CF34" s="27"/>
      <s:c r="CG34" s="79"/>
      <s:c r="CH34" s="26"/>
      <s:c r="CI34" s="80"/>
      <s:c r="CJ34" s="76"/>
      <s:c r="CK34" s="26"/>
      <s:c r="CL34" s="27"/>
      <s:c r="CM34" s="79"/>
      <s:c r="CN34" s="26"/>
      <s:c r="CO34" s="80"/>
      <s:c r="CP34" s="76"/>
      <s:c r="CQ34" s="26"/>
      <s:c r="CR34" s="27"/>
      <s:c r="CS34" s="62">
        <s:f>SUMIFS(D34:CR34,$D$3:$CR$3,"З")</s:f>
        <s:v>0</s:v>
      </s:c>
      <s:c r="CT34" s="63">
        <s:f>SUMIFS(D34:CR34,$D$3:$CR$3,"О")</s:f>
        <s:v>1</s:v>
      </s:c>
      <s:c r="CU34" s="63">
        <s:f>SUMIFS(D34:CR34,$D$3:$CR$3,"У")</s:f>
        <s:v>0</s:v>
      </s:c>
      <s:c r="CV34" s="28">
        <s:f>IF(C34="Да",CS34*$D$62+CT34*$D$63+CU34*$D$64,CS34*$C$62+CT34*$C$63+CU34*$C$64)</s:f>
        <s:v>1220</s:v>
      </s:c>
      <s:c r="CW34" s="29" t="str">
        <s:f>IF(C34="Нет",CV34,"")</s:f>
        <s:v/>
      </s:c>
      <s:c r="CX34" s="30">
        <s:f>IF(C34="Да",CV34,"")</s:f>
        <s:v>1220</s:v>
      </s:c>
      <s:c r="CY34" s="30" t="str">
        <s:f>IF(C34="Налич",CV34,"")</s:f>
        <s:v/>
      </s:c>
    </s:row>
    <s:row r="35" ht="21.75">
      <s:c r="A35" s="23">
        <s:v>103</s:v>
      </s:c>
      <s:c r="B35" s="38" t="s">
        <s:v>153</s:v>
      </s:c>
      <s:c r="C35" s="39" t="s">
        <s:v>18</s:v>
      </s:c>
      <s:c r="D35" s="55"/>
      <s:c r="E35" s="56"/>
      <s:c r="F35" s="75"/>
      <s:c r="G35" s="81"/>
      <s:c r="H35" s="40"/>
      <s:c r="I35" s="82"/>
      <s:c r="J35" s="77"/>
      <s:c r="K35" s="40"/>
      <s:c r="L35" s="41"/>
      <s:c r="M35" s="81"/>
      <s:c r="N35" s="40"/>
      <s:c r="O35" s="82"/>
      <s:c r="P35" s="77"/>
      <s:c r="Q35" s="40"/>
      <s:c r="R35" s="41"/>
      <s:c r="S35" s="81"/>
      <s:c r="T35" s="40"/>
      <s:c r="U35" s="82"/>
      <s:c r="V35" s="77"/>
      <s:c r="W35" s="40"/>
      <s:c r="X35" s="41"/>
      <s:c r="Y35" s="81"/>
      <s:c r="Z35" s="40"/>
      <s:c r="AA35" s="82"/>
      <s:c r="AB35" s="77"/>
      <s:c r="AC35" s="40"/>
      <s:c r="AD35" s="41"/>
      <s:c r="AE35" s="81"/>
      <s:c r="AF35" s="40"/>
      <s:c r="AG35" s="82"/>
      <s:c r="AH35" s="77"/>
      <s:c r="AI35" s="40"/>
      <s:c r="AJ35" s="41"/>
      <s:c r="AK35" s="81"/>
      <s:c r="AL35" s="40"/>
      <s:c r="AM35" s="82"/>
      <s:c r="AN35" s="77"/>
      <s:c r="AO35" s="40"/>
      <s:c r="AP35" s="41"/>
      <s:c r="AQ35" s="81"/>
      <s:c r="AR35" s="40"/>
      <s:c r="AS35" s="82"/>
      <s:c r="AT35" s="77"/>
      <s:c r="AU35" s="40"/>
      <s:c r="AV35" s="41"/>
      <s:c r="AW35" s="81"/>
      <s:c r="AX35" s="40"/>
      <s:c r="AY35" s="82"/>
      <s:c r="AZ35" s="77"/>
      <s:c r="BA35" s="40"/>
      <s:c r="BB35" s="41"/>
      <s:c r="BC35" s="81"/>
      <s:c r="BD35" s="40"/>
      <s:c r="BE35" s="82"/>
      <s:c r="BF35" s="0"/>
      <s:c r="BG35" s="0"/>
      <s:c r="BH35" s="0"/>
      <s:c r="BI35" s="0"/>
      <s:c r="BJ35" s="40"/>
      <s:c r="BK35" s="82"/>
      <s:c r="BL35" s="77"/>
      <s:c r="BM35" s="40"/>
      <s:c r="BN35" s="77"/>
      <s:c r="BO35" s="40"/>
      <s:c r="BP35" s="41"/>
      <s:c r="BQ35" s="81"/>
      <s:c r="BR35" s="202">
        <s:v>2</s:v>
      </s:c>
      <s:c r="BS35" s="40"/>
      <s:c r="BT35" s="41"/>
      <s:c r="BU35" s="81"/>
      <s:c r="BV35" s="40"/>
      <s:c r="BW35" s="82"/>
      <s:c r="BX35" s="77"/>
      <s:c r="BY35" s="40"/>
      <s:c r="BZ35" s="41"/>
      <s:c r="CA35" s="81"/>
      <s:c r="CB35" s="40"/>
      <s:c r="CC35" s="82"/>
      <s:c r="CD35" s="77"/>
      <s:c r="CE35" s="40"/>
      <s:c r="CF35" s="41"/>
      <s:c r="CG35" s="81"/>
      <s:c r="CH35" s="40"/>
      <s:c r="CI35" s="82"/>
      <s:c r="CJ35" s="77"/>
      <s:c r="CK35" s="40"/>
      <s:c r="CL35" s="41"/>
      <s:c r="CM35" s="81"/>
      <s:c r="CN35" s="40"/>
      <s:c r="CO35" s="82"/>
      <s:c r="CP35" s="77"/>
      <s:c r="CQ35" s="40"/>
      <s:c r="CR35" s="41"/>
      <s:c r="CS35" s="67">
        <s:f>SUMIFS(D35:CR35,$D$3:$CR$3,"З")</s:f>
        <s:v>2</s:v>
      </s:c>
      <s:c r="CT35" s="68">
        <s:f>SUMIFS(D35:CR35,$D$3:$CR$3,"О")</s:f>
        <s:v>0</s:v>
      </s:c>
      <s:c r="CU35" s="68">
        <s:f>SUMIFS(D35:CR35,$D$3:$CR$3,"У")</s:f>
        <s:v>0</s:v>
      </s:c>
      <s:c r="CV35" s="42">
        <s:f>IF(C35="Да",CS35*$D$62+CT35*$D$63+CU35*$D$64,CS35*$C$62+CT35*$C$63+CU35*$C$64)</s:f>
        <s:v>1600</s:v>
      </s:c>
      <s:c r="CW35" s="43">
        <s:f>IF(C35="Нет",CV35,"")</s:f>
        <s:v>1600</s:v>
      </s:c>
      <s:c r="CX35" s="44" t="str">
        <s:f>IF(C35="Да",CV35,"")</s:f>
        <s:v/>
      </s:c>
      <s:c r="CY35" s="30" t="str">
        <s:f>IF(C35="Налич",CV35,"")</s:f>
        <s:v/>
      </s:c>
    </s:row>
    <s:row r="36" ht="21.75">
      <s:c r="A36" s="23">
        <s:v>106</s:v>
      </s:c>
      <s:c r="B36" s="38" t="s">
        <s:v>154</s:v>
      </s:c>
      <s:c r="C36" s="39" t="s">
        <s:v>18</s:v>
      </s:c>
      <s:c r="D36" s="55"/>
      <s:c r="E36" s="56"/>
      <s:c r="F36" s="75"/>
      <s:c r="G36" s="81"/>
      <s:c r="H36" s="40"/>
      <s:c r="I36" s="82"/>
      <s:c r="J36" s="77"/>
      <s:c r="K36" s="40"/>
      <s:c r="L36" s="41"/>
      <s:c r="M36" s="81"/>
      <s:c r="N36" s="40"/>
      <s:c r="O36" s="82"/>
      <s:c r="P36" s="77"/>
      <s:c r="Q36" s="40"/>
      <s:c r="R36" s="41"/>
      <s:c r="S36" s="81"/>
      <s:c r="T36" s="40"/>
      <s:c r="U36" s="82"/>
      <s:c r="V36" s="77"/>
      <s:c r="W36" s="40"/>
      <s:c r="X36" s="41"/>
      <s:c r="Y36" s="81"/>
      <s:c r="Z36" s="40"/>
      <s:c r="AA36" s="82"/>
      <s:c r="AB36" s="77"/>
      <s:c r="AC36" s="40"/>
      <s:c r="AD36" s="41"/>
      <s:c r="AE36" s="81"/>
      <s:c r="AF36" s="40"/>
      <s:c r="AG36" s="82"/>
      <s:c r="AH36" s="77"/>
      <s:c r="AI36" s="40"/>
      <s:c r="AJ36" s="41"/>
      <s:c r="AK36" s="81"/>
      <s:c r="AL36" s="40"/>
      <s:c r="AM36" s="82"/>
      <s:c r="AN36" s="77"/>
      <s:c r="AO36" s="40"/>
      <s:c r="AP36" s="41"/>
      <s:c r="AQ36" s="81"/>
      <s:c r="AR36" s="40"/>
      <s:c r="AS36" s="82"/>
      <s:c r="AT36" s="77"/>
      <s:c r="AU36" s="40"/>
      <s:c r="AV36" s="41"/>
      <s:c r="AW36" s="81"/>
      <s:c r="AX36" s="40"/>
      <s:c r="AY36" s="82"/>
      <s:c r="AZ36" s="77"/>
      <s:c r="BA36" s="40"/>
      <s:c r="BB36" s="41"/>
      <s:c r="BC36" s="81"/>
      <s:c r="BD36" s="40"/>
      <s:c r="BE36" s="82"/>
      <s:c r="BF36" s="77"/>
      <s:c r="BG36" s="40"/>
      <s:c r="BH36" s="41"/>
      <s:c r="BI36" s="81"/>
      <s:c r="BJ36" s="40"/>
      <s:c r="BK36" s="82"/>
      <s:c r="BL36" s="77"/>
      <s:c r="BM36" s="40"/>
      <s:c r="BN36" s="41"/>
      <s:c r="BO36" s="81"/>
      <s:c r="BP36" s="40"/>
      <s:c r="BQ36" s="82"/>
      <s:c r="BR36" s="202">
        <s:v>1</s:v>
      </s:c>
      <s:c r="BS36" s="40"/>
      <s:c r="BT36" s="41"/>
      <s:c r="BU36" s="81"/>
      <s:c r="BV36" s="40"/>
      <s:c r="BW36" s="82"/>
      <s:c r="BX36" s="77"/>
      <s:c r="BY36" s="40"/>
      <s:c r="BZ36" s="41"/>
      <s:c r="CA36" s="81"/>
      <s:c r="CB36" s="40"/>
      <s:c r="CC36" s="82"/>
      <s:c r="CD36" s="77"/>
      <s:c r="CE36" s="40"/>
      <s:c r="CF36" s="41"/>
      <s:c r="CG36" s="81"/>
      <s:c r="CH36" s="40"/>
      <s:c r="CI36" s="82"/>
      <s:c r="CJ36" s="77"/>
      <s:c r="CK36" s="40"/>
      <s:c r="CL36" s="41"/>
      <s:c r="CM36" s="81"/>
      <s:c r="CN36" s="40"/>
      <s:c r="CO36" s="82"/>
      <s:c r="CP36" s="77"/>
      <s:c r="CQ36" s="40"/>
      <s:c r="CR36" s="41"/>
      <s:c r="CS36" s="67">
        <s:f>SUMIFS(D36:CR36,$D$3:$CR$3,"З")</s:f>
        <s:v>1</s:v>
      </s:c>
      <s:c r="CT36" s="68">
        <s:f>SUMIFS(D36:CR36,$D$3:$CR$3,"О")</s:f>
        <s:v>0</s:v>
      </s:c>
      <s:c r="CU36" s="68">
        <s:f>SUMIFS(D36:CR36,$D$3:$CR$3,"У")</s:f>
        <s:v>0</s:v>
      </s:c>
      <s:c r="CV36" s="42">
        <s:f>IF(C36="Да",CS36*$D$62+CT36*$D$63+CU36*$D$64,CS36*$C$62+CT36*$C$63+CU36*$C$64)</s:f>
        <s:v>800</s:v>
      </s:c>
      <s:c r="CW36" s="43">
        <s:f>IF(C36="Нет",CV36,"")</s:f>
        <s:v>800</s:v>
      </s:c>
      <s:c r="CX36" s="44" t="str">
        <s:f>IF(C36="Да",CV36,"")</s:f>
        <s:v/>
      </s:c>
      <s:c r="CY36" s="30" t="str">
        <s:f>IF(C36="Налич",CV36,"")</s:f>
        <s:v/>
      </s:c>
    </s:row>
    <s:row r="37" ht="21.75">
      <s:c r="A37" s="23">
        <s:v>106</s:v>
      </s:c>
      <s:c r="B37" s="38" t="s">
        <s:v>155</s:v>
      </s:c>
      <s:c r="C37" s="39" t="s">
        <s:v>18</s:v>
      </s:c>
      <s:c r="D37" s="55"/>
      <s:c r="E37" s="56"/>
      <s:c r="F37" s="75"/>
      <s:c r="G37" s="81"/>
      <s:c r="H37" s="40"/>
      <s:c r="I37" s="82"/>
      <s:c r="J37" s="77"/>
      <s:c r="K37" s="40"/>
      <s:c r="L37" s="41"/>
      <s:c r="M37" s="81"/>
      <s:c r="N37" s="40"/>
      <s:c r="O37" s="82"/>
      <s:c r="P37" s="77"/>
      <s:c r="Q37" s="40"/>
      <s:c r="R37" s="41"/>
      <s:c r="S37" s="81"/>
      <s:c r="T37" s="40"/>
      <s:c r="U37" s="82"/>
      <s:c r="V37" s="77"/>
      <s:c r="W37" s="40"/>
      <s:c r="X37" s="41"/>
      <s:c r="Y37" s="81"/>
      <s:c r="Z37" s="40"/>
      <s:c r="AA37" s="82"/>
      <s:c r="AB37" s="77"/>
      <s:c r="AC37" s="40"/>
      <s:c r="AD37" s="41"/>
      <s:c r="AE37" s="81"/>
      <s:c r="AF37" s="40"/>
      <s:c r="AG37" s="82"/>
      <s:c r="AH37" s="77"/>
      <s:c r="AI37" s="40"/>
      <s:c r="AJ37" s="41"/>
      <s:c r="AK37" s="81"/>
      <s:c r="AL37" s="40"/>
      <s:c r="AM37" s="82"/>
      <s:c r="AN37" s="77"/>
      <s:c r="AO37" s="40"/>
      <s:c r="AP37" s="41"/>
      <s:c r="AQ37" s="81"/>
      <s:c r="AR37" s="40"/>
      <s:c r="AS37" s="82"/>
      <s:c r="AT37" s="77"/>
      <s:c r="AU37" s="40"/>
      <s:c r="AV37" s="41"/>
      <s:c r="AW37" s="81"/>
      <s:c r="AX37" s="40"/>
      <s:c r="AY37" s="82"/>
      <s:c r="AZ37" s="77"/>
      <s:c r="BA37" s="40"/>
      <s:c r="BB37" s="41"/>
      <s:c r="BC37" s="81"/>
      <s:c r="BD37" s="40"/>
      <s:c r="BE37" s="82"/>
      <s:c r="BF37" s="77"/>
      <s:c r="BG37" s="40"/>
      <s:c r="BH37" s="41"/>
      <s:c r="BI37" s="81"/>
      <s:c r="BJ37" s="40"/>
      <s:c r="BK37" s="82"/>
      <s:c r="BL37" s="77"/>
      <s:c r="BM37" s="40"/>
      <s:c r="BN37" s="41"/>
      <s:c r="BO37" s="81"/>
      <s:c r="BP37" s="40"/>
      <s:c r="BQ37" s="82"/>
      <s:c r="BR37" s="202">
        <s:v>1</s:v>
      </s:c>
      <s:c r="BS37" s="40"/>
      <s:c r="BT37" s="41"/>
      <s:c r="BU37" s="81"/>
      <s:c r="BV37" s="40"/>
      <s:c r="BW37" s="82"/>
      <s:c r="BX37" s="77"/>
      <s:c r="BY37" s="40"/>
      <s:c r="BZ37" s="41"/>
      <s:c r="CA37" s="81"/>
      <s:c r="CB37" s="40"/>
      <s:c r="CC37" s="82"/>
      <s:c r="CD37" s="77"/>
      <s:c r="CE37" s="40"/>
      <s:c r="CF37" s="41"/>
      <s:c r="CG37" s="81"/>
      <s:c r="CH37" s="40"/>
      <s:c r="CI37" s="82"/>
      <s:c r="CJ37" s="77"/>
      <s:c r="CK37" s="40"/>
      <s:c r="CL37" s="41"/>
      <s:c r="CM37" s="81"/>
      <s:c r="CN37" s="40"/>
      <s:c r="CO37" s="82"/>
      <s:c r="CP37" s="77"/>
      <s:c r="CQ37" s="40"/>
      <s:c r="CR37" s="41"/>
      <s:c r="CS37" s="67">
        <s:f>SUMIFS(D37:CR37,$D$3:$CR$3,"З")</s:f>
        <s:v>1</s:v>
      </s:c>
      <s:c r="CT37" s="68">
        <s:f>SUMIFS(D37:CR37,$D$3:$CR$3,"О")</s:f>
        <s:v>0</s:v>
      </s:c>
      <s:c r="CU37" s="68">
        <s:f>SUMIFS(D37:CR37,$D$3:$CR$3,"У")</s:f>
        <s:v>0</s:v>
      </s:c>
      <s:c r="CV37" s="42">
        <s:f>IF(C37="Да",CS37*$D$62+CT37*$D$63+CU37*$D$64,CS37*$C$62+CT37*$C$63+CU37*$C$64)</s:f>
        <s:v>800</s:v>
      </s:c>
      <s:c r="CW37" s="43">
        <s:f>IF(C37="Нет",CV37,"")</s:f>
        <s:v>800</s:v>
      </s:c>
      <s:c r="CX37" s="44" t="str">
        <s:f>IF(C37="Да",CV37,"")</s:f>
        <s:v/>
      </s:c>
      <s:c r="CY37" s="30" t="str">
        <s:f>IF(C37="Налич",CV37,"")</s:f>
        <s:v/>
      </s:c>
    </s:row>
    <s:row r="38" ht="21.75">
      <s:c r="A38" s="23">
        <s:v>109</s:v>
      </s:c>
      <s:c r="B38" s="38" t="s">
        <s:v>156</s:v>
      </s:c>
      <s:c r="C38" s="39" t="s">
        <s:v>18</s:v>
      </s:c>
      <s:c r="D38" s="55"/>
      <s:c r="E38" s="56"/>
      <s:c r="F38" s="75"/>
      <s:c r="G38" s="81"/>
      <s:c r="H38" s="40"/>
      <s:c r="I38" s="82"/>
      <s:c r="J38" s="77"/>
      <s:c r="K38" s="40"/>
      <s:c r="L38" s="41"/>
      <s:c r="M38" s="81"/>
      <s:c r="N38" s="40"/>
      <s:c r="O38" s="82"/>
      <s:c r="P38" s="77"/>
      <s:c r="Q38" s="40"/>
      <s:c r="R38" s="41"/>
      <s:c r="S38" s="81"/>
      <s:c r="T38" s="40"/>
      <s:c r="U38" s="82"/>
      <s:c r="V38" s="77"/>
      <s:c r="W38" s="40"/>
      <s:c r="X38" s="41"/>
      <s:c r="Y38" s="81"/>
      <s:c r="Z38" s="40"/>
      <s:c r="AA38" s="82"/>
      <s:c r="AB38" s="77"/>
      <s:c r="AC38" s="40"/>
      <s:c r="AD38" s="41"/>
      <s:c r="AE38" s="81"/>
      <s:c r="AF38" s="40"/>
      <s:c r="AG38" s="82"/>
      <s:c r="AH38" s="77"/>
      <s:c r="AI38" s="40"/>
      <s:c r="AJ38" s="41"/>
      <s:c r="AK38" s="81"/>
      <s:c r="AL38" s="40"/>
      <s:c r="AM38" s="82"/>
      <s:c r="AN38" s="77"/>
      <s:c r="AO38" s="40"/>
      <s:c r="AP38" s="41"/>
      <s:c r="AQ38" s="81"/>
      <s:c r="AR38" s="40"/>
      <s:c r="AS38" s="82"/>
      <s:c r="AT38" s="77"/>
      <s:c r="AU38" s="40"/>
      <s:c r="AV38" s="41"/>
      <s:c r="AW38" s="81"/>
      <s:c r="AX38" s="40"/>
      <s:c r="AY38" s="82"/>
      <s:c r="AZ38" s="77"/>
      <s:c r="BA38" s="40"/>
      <s:c r="BB38" s="41"/>
      <s:c r="BC38" s="81"/>
      <s:c r="BD38" s="40"/>
      <s:c r="BE38" s="82"/>
      <s:c r="BF38" s="77"/>
      <s:c r="BG38" s="40"/>
      <s:c r="BH38" s="41"/>
      <s:c r="BI38" s="81"/>
      <s:c r="BJ38" s="40"/>
      <s:c r="BK38" s="82"/>
      <s:c r="BL38" s="77"/>
      <s:c r="BM38" s="40"/>
      <s:c r="BN38" s="41"/>
      <s:c r="BO38" s="81"/>
      <s:c r="BP38" s="40"/>
      <s:c r="BQ38" s="82"/>
      <s:c r="BR38" s="202"/>
      <s:c r="BS38" s="40"/>
      <s:c r="BT38" s="203"/>
      <s:c r="BU38" s="204">
        <s:v>2</s:v>
      </s:c>
      <s:c r="BV38" s="40"/>
      <s:c r="BW38" s="205"/>
      <s:c r="BX38" s="202">
        <s:v>2</s:v>
      </s:c>
      <s:c r="BY38" s="40"/>
      <s:c r="BZ38" s="41"/>
      <s:c r="CA38" s="204">
        <s:v>2</s:v>
      </s:c>
      <s:c r="CB38" s="40"/>
      <s:c r="CC38" s="82"/>
      <s:c r="CD38" s="202">
        <s:v>2</s:v>
      </s:c>
      <s:c r="CE38" s="40"/>
      <s:c r="CF38" s="41"/>
      <s:c r="CG38" s="204">
        <s:v>2</s:v>
      </s:c>
      <s:c r="CH38" s="40"/>
      <s:c r="CI38" s="82"/>
      <s:c r="CJ38" s="202">
        <s:v>2</s:v>
      </s:c>
      <s:c r="CK38" s="40"/>
      <s:c r="CL38" s="41"/>
      <s:c r="CM38" s="204">
        <s:v>2</s:v>
      </s:c>
      <s:c r="CN38" s="40"/>
      <s:c r="CO38" s="82"/>
      <s:c r="CP38" s="202">
        <s:v>2</s:v>
      </s:c>
      <s:c r="CQ38" s="40"/>
      <s:c r="CR38" s="41"/>
      <s:c r="CS38" s="67">
        <s:f>SUMIFS(D38:CR38,$D$3:$CR$3,"З")</s:f>
        <s:v>16</s:v>
      </s:c>
      <s:c r="CT38" s="68">
        <s:f>SUMIFS(D38:CR38,$D$3:$CR$3,"О")</s:f>
        <s:v>0</s:v>
      </s:c>
      <s:c r="CU38" s="68">
        <s:f>SUMIFS(D38:CR38,$D$3:$CR$3,"У")</s:f>
        <s:v>0</s:v>
      </s:c>
      <s:c r="CV38" s="42">
        <s:f>IF(C38="Да",CS38*$D$62+CT38*$D$63+CU38*$D$64,CS38*$C$62+CT38*$C$63+CU38*$C$64)</s:f>
        <s:v>12800</s:v>
      </s:c>
      <s:c r="CW38" s="43">
        <s:f>IF(C38="Нет",CV38,"")</s:f>
        <s:v>12800</s:v>
      </s:c>
      <s:c r="CX38" s="44" t="str">
        <s:f>IF(C38="Да",CV38,"")</s:f>
        <s:v/>
      </s:c>
      <s:c r="CY38" s="30" t="str">
        <s:f>IF(C38="Налич",CV38,"")</s:f>
        <s:v/>
      </s:c>
    </s:row>
    <s:row r="39" ht="21.75">
      <s:c r="A39" s="23">
        <s:v>107</s:v>
      </s:c>
      <s:c r="B39" s="38" t="s">
        <s:v>157</s:v>
      </s:c>
      <s:c r="C39" s="39" t="s">
        <s:v>17</s:v>
      </s:c>
      <s:c r="D39" s="55"/>
      <s:c r="E39" s="56"/>
      <s:c r="F39" s="75"/>
      <s:c r="G39" s="81"/>
      <s:c r="H39" s="40"/>
      <s:c r="I39" s="82"/>
      <s:c r="J39" s="77"/>
      <s:c r="K39" s="40"/>
      <s:c r="L39" s="41"/>
      <s:c r="M39" s="81"/>
      <s:c r="N39" s="40"/>
      <s:c r="O39" s="82"/>
      <s:c r="P39" s="77"/>
      <s:c r="Q39" s="40"/>
      <s:c r="R39" s="41"/>
      <s:c r="S39" s="81"/>
      <s:c r="T39" s="40"/>
      <s:c r="U39" s="82"/>
      <s:c r="V39" s="77"/>
      <s:c r="W39" s="40"/>
      <s:c r="X39" s="41"/>
      <s:c r="Y39" s="81"/>
      <s:c r="Z39" s="40"/>
      <s:c r="AA39" s="82"/>
      <s:c r="AB39" s="77"/>
      <s:c r="AC39" s="40"/>
      <s:c r="AD39" s="41"/>
      <s:c r="AE39" s="81"/>
      <s:c r="AF39" s="40"/>
      <s:c r="AG39" s="82"/>
      <s:c r="AH39" s="77"/>
      <s:c r="AI39" s="40"/>
      <s:c r="AJ39" s="41"/>
      <s:c r="AK39" s="81"/>
      <s:c r="AL39" s="40"/>
      <s:c r="AM39" s="82"/>
      <s:c r="AN39" s="77"/>
      <s:c r="AO39" s="40"/>
      <s:c r="AP39" s="41"/>
      <s:c r="AQ39" s="81"/>
      <s:c r="AR39" s="40"/>
      <s:c r="AS39" s="82"/>
      <s:c r="AT39" s="77"/>
      <s:c r="AU39" s="40"/>
      <s:c r="AV39" s="41"/>
      <s:c r="AW39" s="81"/>
      <s:c r="AX39" s="40"/>
      <s:c r="AY39" s="82"/>
      <s:c r="AZ39" s="77"/>
      <s:c r="BA39" s="40"/>
      <s:c r="BB39" s="41"/>
      <s:c r="BC39" s="81"/>
      <s:c r="BD39" s="40"/>
      <s:c r="BE39" s="82"/>
      <s:c r="BF39" s="77"/>
      <s:c r="BG39" s="40"/>
      <s:c r="BH39" s="41"/>
      <s:c r="BI39" s="81"/>
      <s:c r="BJ39" s="40"/>
      <s:c r="BK39" s="82"/>
      <s:c r="BL39" s="77"/>
      <s:c r="BM39" s="40"/>
      <s:c r="BN39" s="41"/>
      <s:c r="BO39" s="81"/>
      <s:c r="BP39" s="40"/>
      <s:c r="BQ39" s="82"/>
      <s:c r="BR39" s="202"/>
      <s:c r="BS39" s="40"/>
      <s:c r="BT39" s="41"/>
      <s:c r="BU39" s="204">
        <s:v>1</s:v>
      </s:c>
      <s:c r="BV39" s="40"/>
      <s:c r="BW39" s="205"/>
      <s:c r="BX39" s="202">
        <s:v>1</s:v>
      </s:c>
      <s:c r="BY39" s="40"/>
      <s:c r="BZ39" s="41"/>
      <s:c r="CA39" s="81"/>
      <s:c r="CB39" s="40"/>
      <s:c r="CC39" s="82"/>
      <s:c r="CD39" s="77"/>
      <s:c r="CE39" s="40"/>
      <s:c r="CF39" s="41"/>
      <s:c r="CG39" s="81"/>
      <s:c r="CH39" s="40"/>
      <s:c r="CI39" s="82"/>
      <s:c r="CJ39" s="77"/>
      <s:c r="CK39" s="40"/>
      <s:c r="CL39" s="41"/>
      <s:c r="CM39" s="81"/>
      <s:c r="CN39" s="40"/>
      <s:c r="CO39" s="82"/>
      <s:c r="CP39" s="77"/>
      <s:c r="CQ39" s="40"/>
      <s:c r="CR39" s="41"/>
      <s:c r="CS39" s="67">
        <s:f>SUMIFS(D39:CR39,$D$3:$CR$3,"З")</s:f>
        <s:v>2</s:v>
      </s:c>
      <s:c r="CT39" s="68">
        <s:f>SUMIFS(D39:CR39,$D$3:$CR$3,"О")</s:f>
        <s:v>0</s:v>
      </s:c>
      <s:c r="CU39" s="68">
        <s:f>SUMIFS(D39:CR39,$D$3:$CR$3,"У")</s:f>
        <s:v>0</s:v>
      </s:c>
      <s:c r="CV39" s="42">
        <s:f>IF(C39="Да",CS39*$D$62+CT39*$D$63+CU39*$D$64,CS39*$C$62+CT39*$C$63+CU39*$C$64)</s:f>
        <s:v>1952</s:v>
      </s:c>
      <s:c r="CW39" s="43" t="str">
        <s:f>IF(C39="Нет",CV39,"")</s:f>
        <s:v/>
      </s:c>
      <s:c r="CX39" s="44">
        <s:f>IF(C39="Да",CV39,"")</s:f>
        <s:v>1952</s:v>
      </s:c>
      <s:c r="CY39" s="30" t="str">
        <s:f>IF(C39="Налич",CV39,"")</s:f>
        <s:v/>
      </s:c>
    </s:row>
    <s:row r="40" ht="21.75">
      <s:c r="A40" s="23">
        <s:v>109</s:v>
      </s:c>
      <s:c r="B40" s="38" t="s">
        <s:v>156</s:v>
      </s:c>
      <s:c r="C40" s="39" t="s">
        <s:v>17</s:v>
      </s:c>
      <s:c r="D40" s="55"/>
      <s:c r="E40" s="56"/>
      <s:c r="F40" s="75"/>
      <s:c r="G40" s="81"/>
      <s:c r="H40" s="40"/>
      <s:c r="I40" s="82"/>
      <s:c r="J40" s="77"/>
      <s:c r="K40" s="40"/>
      <s:c r="L40" s="41"/>
      <s:c r="M40" s="81"/>
      <s:c r="N40" s="40"/>
      <s:c r="O40" s="82"/>
      <s:c r="P40" s="77"/>
      <s:c r="Q40" s="40"/>
      <s:c r="R40" s="41"/>
      <s:c r="S40" s="81"/>
      <s:c r="T40" s="40"/>
      <s:c r="U40" s="82"/>
      <s:c r="V40" s="77"/>
      <s:c r="W40" s="40"/>
      <s:c r="X40" s="41"/>
      <s:c r="Y40" s="81"/>
      <s:c r="Z40" s="40"/>
      <s:c r="AA40" s="82"/>
      <s:c r="AB40" s="77"/>
      <s:c r="AC40" s="40"/>
      <s:c r="AD40" s="41"/>
      <s:c r="AE40" s="81"/>
      <s:c r="AF40" s="40"/>
      <s:c r="AG40" s="82"/>
      <s:c r="AH40" s="77"/>
      <s:c r="AI40" s="40"/>
      <s:c r="AJ40" s="41"/>
      <s:c r="AK40" s="81"/>
      <s:c r="AL40" s="40"/>
      <s:c r="AM40" s="82"/>
      <s:c r="AN40" s="77"/>
      <s:c r="AO40" s="40"/>
      <s:c r="AP40" s="41"/>
      <s:c r="AQ40" s="81"/>
      <s:c r="AR40" s="40"/>
      <s:c r="AS40" s="82"/>
      <s:c r="AT40" s="77"/>
      <s:c r="AU40" s="40"/>
      <s:c r="AV40" s="41"/>
      <s:c r="AW40" s="81"/>
      <s:c r="AX40" s="40"/>
      <s:c r="AY40" s="82"/>
      <s:c r="AZ40" s="77"/>
      <s:c r="BA40" s="40"/>
      <s:c r="BB40" s="41"/>
      <s:c r="BC40" s="81"/>
      <s:c r="BD40" s="40"/>
      <s:c r="BE40" s="82"/>
      <s:c r="BF40" s="77"/>
      <s:c r="BG40" s="40"/>
      <s:c r="BH40" s="41"/>
      <s:c r="BI40" s="81"/>
      <s:c r="BJ40" s="40"/>
      <s:c r="BK40" s="82"/>
      <s:c r="BL40" s="77"/>
      <s:c r="BM40" s="40"/>
      <s:c r="BN40" s="41"/>
      <s:c r="BO40" s="81"/>
      <s:c r="BP40" s="40"/>
      <s:c r="BQ40" s="82"/>
      <s:c r="BR40" s="202"/>
      <s:c r="BS40" s="40"/>
      <s:c r="BT40" s="203">
        <s:v>2</s:v>
      </s:c>
      <s:c r="BU40" s="81"/>
      <s:c r="BV40" s="40"/>
      <s:c r="BW40" s="205">
        <s:v>2</s:v>
      </s:c>
      <s:c r="BX40" s="77"/>
      <s:c r="BY40" s="40"/>
      <s:c r="BZ40" s="203">
        <s:v>2</s:v>
      </s:c>
      <s:c r="CA40" s="81"/>
      <s:c r="CB40" s="40"/>
      <s:c r="CC40" s="205">
        <s:v>2</s:v>
      </s:c>
      <s:c r="CD40" s="77"/>
      <s:c r="CE40" s="40"/>
      <s:c r="CF40" s="203">
        <s:v>2</s:v>
      </s:c>
      <s:c r="CG40" s="81"/>
      <s:c r="CH40" s="40"/>
      <s:c r="CI40" s="205">
        <s:v>2</s:v>
      </s:c>
      <s:c r="CJ40" s="77"/>
      <s:c r="CK40" s="40"/>
      <s:c r="CL40" s="203">
        <s:v>2</s:v>
      </s:c>
      <s:c r="CM40" s="81"/>
      <s:c r="CN40" s="40"/>
      <s:c r="CO40" s="205">
        <s:v>2</s:v>
      </s:c>
      <s:c r="CP40" s="77"/>
      <s:c r="CQ40" s="40"/>
      <s:c r="CR40" s="203">
        <s:v>2</s:v>
      </s:c>
      <s:c r="CS40" s="67">
        <s:f>SUMIFS(D40:CR40,$D$3:$CR$3,"З")</s:f>
        <s:v>0</s:v>
      </s:c>
      <s:c r="CT40" s="68">
        <s:f>SUMIFS(D40:CR40,$D$3:$CR$3,"О")</s:f>
        <s:v>0</s:v>
      </s:c>
      <s:c r="CU40" s="68">
        <s:f>SUMIFS(D40:CR40,$D$3:$CR$3,"У")</s:f>
        <s:v>18</s:v>
      </s:c>
      <s:c r="CV40" s="42">
        <s:f>IF(C40="Да",CS40*$D$62+CT40*$D$63+CU40*$D$64,CS40*$C$62+CT40*$C$63+CU40*$C$64)</s:f>
        <s:v>18666</s:v>
      </s:c>
      <s:c r="CW40" s="43" t="str">
        <s:f>IF(C40="Нет",CV40,"")</s:f>
        <s:v/>
      </s:c>
      <s:c r="CX40" s="44">
        <s:f>IF(C40="Да",CV40,"")</s:f>
        <s:v>18666</s:v>
      </s:c>
      <s:c r="CY40" s="30" t="str">
        <s:f>IF(C40="Налич",CV40,"")</s:f>
        <s:v/>
      </s:c>
    </s:row>
    <s:row r="41" ht="33.75" customHeight="1">
      <s:c r="A41" s="37">
        <s:v>103</s:v>
      </s:c>
      <s:c r="B41" s="38" t="s">
        <s:v>158</s:v>
      </s:c>
      <s:c r="C41" s="39" t="s">
        <s:v>18</s:v>
      </s:c>
      <s:c r="D41" s="55"/>
      <s:c r="E41" s="56"/>
      <s:c r="F41" s="75"/>
      <s:c r="G41" s="81"/>
      <s:c r="H41" s="40"/>
      <s:c r="I41" s="82"/>
      <s:c r="J41" s="77"/>
      <s:c r="K41" s="40"/>
      <s:c r="L41" s="41"/>
      <s:c r="M41" s="81"/>
      <s:c r="N41" s="40"/>
      <s:c r="O41" s="82"/>
      <s:c r="P41" s="77"/>
      <s:c r="Q41" s="40"/>
      <s:c r="R41" s="41"/>
      <s:c r="S41" s="81"/>
      <s:c r="T41" s="40"/>
      <s:c r="U41" s="82"/>
      <s:c r="V41" s="77"/>
      <s:c r="W41" s="40"/>
      <s:c r="X41" s="41"/>
      <s:c r="Y41" s="81"/>
      <s:c r="Z41" s="40"/>
      <s:c r="AA41" s="82"/>
      <s:c r="AB41" s="77"/>
      <s:c r="AC41" s="40"/>
      <s:c r="AD41" s="41"/>
      <s:c r="AE41" s="81"/>
      <s:c r="AF41" s="40"/>
      <s:c r="AG41" s="82"/>
      <s:c r="AH41" s="77"/>
      <s:c r="AI41" s="40"/>
      <s:c r="AJ41" s="41"/>
      <s:c r="AK41" s="81"/>
      <s:c r="AL41" s="40"/>
      <s:c r="AM41" s="82"/>
      <s:c r="AN41" s="77"/>
      <s:c r="AO41" s="40"/>
      <s:c r="AP41" s="41"/>
      <s:c r="AQ41" s="81"/>
      <s:c r="AR41" s="40"/>
      <s:c r="AS41" s="82"/>
      <s:c r="AT41" s="77"/>
      <s:c r="AU41" s="40"/>
      <s:c r="AV41" s="41"/>
      <s:c r="AW41" s="81"/>
      <s:c r="AX41" s="40"/>
      <s:c r="AY41" s="82"/>
      <s:c r="AZ41" s="77"/>
      <s:c r="BA41" s="40"/>
      <s:c r="BB41" s="41"/>
      <s:c r="BC41" s="81"/>
      <s:c r="BD41" s="40"/>
      <s:c r="BE41" s="82"/>
      <s:c r="BF41" s="77"/>
      <s:c r="BG41" s="40"/>
      <s:c r="BH41" s="41"/>
      <s:c r="BI41" s="81"/>
      <s:c r="BJ41" s="40"/>
      <s:c r="BK41" s="82"/>
      <s:c r="BL41" s="77"/>
      <s:c r="BM41" s="40"/>
      <s:c r="BN41" s="41"/>
      <s:c r="BO41" s="81"/>
      <s:c r="BP41" s="40"/>
      <s:c r="BQ41" s="82"/>
      <s:c r="BR41" s="202"/>
      <s:c r="BS41" s="40"/>
      <s:c r="BT41" s="41"/>
      <s:c r="BU41" s="81"/>
      <s:c r="BV41" s="40"/>
      <s:c r="BW41" s="82"/>
      <s:c r="BX41" s="210">
        <s:v>2</s:v>
      </s:c>
      <s:c r="BY41" s="40"/>
      <s:c r="BZ41" s="41"/>
      <s:c r="CA41" s="81"/>
      <s:c r="CB41" s="40"/>
      <s:c r="CC41" s="82"/>
      <s:c r="CD41" s="77"/>
      <s:c r="CE41" s="40"/>
      <s:c r="CF41" s="41"/>
      <s:c r="CG41" s="81"/>
      <s:c r="CH41" s="40"/>
      <s:c r="CI41" s="82"/>
      <s:c r="CJ41" s="77"/>
      <s:c r="CK41" s="40"/>
      <s:c r="CL41" s="41"/>
      <s:c r="CM41" s="81"/>
      <s:c r="CN41" s="40"/>
      <s:c r="CO41" s="82"/>
      <s:c r="CP41" s="77"/>
      <s:c r="CQ41" s="40"/>
      <s:c r="CR41" s="41"/>
      <s:c r="CS41" s="67">
        <s:f>SUMIFS(D41:CR41,$D$3:$CR$3,"З")</s:f>
        <s:v>2</s:v>
      </s:c>
      <s:c r="CT41" s="68">
        <s:f>SUMIFS(D41:CR41,$D$3:$CR$3,"О")</s:f>
        <s:v>0</s:v>
      </s:c>
      <s:c r="CU41" s="68">
        <s:f>SUMIFS(D41:CR41,$D$3:$CR$3,"У")</s:f>
        <s:v>0</s:v>
      </s:c>
      <s:c r="CV41" s="42">
        <s:f>IF(C41="Да",CS41*$D$62+CT41*$D$63+CU41*$D$64,CS41*$C$62+CT41*$C$63+CU41*$C$64)</s:f>
        <s:v>1600</s:v>
      </s:c>
      <s:c r="CW41" s="43">
        <s:f>IF(C41="Нет",CV41,"")</s:f>
        <s:v>1600</s:v>
      </s:c>
      <s:c r="CX41" s="44" t="str">
        <s:f>IF(C41="Да",CV41,"")</s:f>
        <s:v/>
      </s:c>
      <s:c r="CY41" s="30" t="str">
        <s:f>IF(C41="Налич",CV41,"")</s:f>
        <s:v/>
      </s:c>
    </s:row>
    <s:row r="42" ht="21.75">
      <s:c r="A42" s="37"/>
      <s:c r="B42" s="38"/>
      <s:c r="C42" s="39"/>
      <s:c r="D42" s="55"/>
      <s:c r="E42" s="56"/>
      <s:c r="F42" s="75"/>
      <s:c r="G42" s="81"/>
      <s:c r="H42" s="40"/>
      <s:c r="I42" s="82"/>
      <s:c r="J42" s="77"/>
      <s:c r="K42" s="40"/>
      <s:c r="L42" s="41"/>
      <s:c r="M42" s="81"/>
      <s:c r="N42" s="40"/>
      <s:c r="O42" s="82"/>
      <s:c r="P42" s="77"/>
      <s:c r="Q42" s="40"/>
      <s:c r="R42" s="41"/>
      <s:c r="S42" s="81"/>
      <s:c r="T42" s="40"/>
      <s:c r="U42" s="82"/>
      <s:c r="V42" s="77"/>
      <s:c r="W42" s="40"/>
      <s:c r="X42" s="41"/>
      <s:c r="Y42" s="81"/>
      <s:c r="Z42" s="40"/>
      <s:c r="AA42" s="82"/>
      <s:c r="AB42" s="77"/>
      <s:c r="AC42" s="40"/>
      <s:c r="AD42" s="41"/>
      <s:c r="AE42" s="81"/>
      <s:c r="AF42" s="40"/>
      <s:c r="AG42" s="82"/>
      <s:c r="AH42" s="77"/>
      <s:c r="AI42" s="40"/>
      <s:c r="AJ42" s="41"/>
      <s:c r="AK42" s="81"/>
      <s:c r="AL42" s="40"/>
      <s:c r="AM42" s="82"/>
      <s:c r="AN42" s="77"/>
      <s:c r="AO42" s="40"/>
      <s:c r="AP42" s="41"/>
      <s:c r="AQ42" s="81"/>
      <s:c r="AR42" s="40"/>
      <s:c r="AS42" s="82"/>
      <s:c r="AT42" s="77"/>
      <s:c r="AU42" s="40"/>
      <s:c r="AV42" s="41"/>
      <s:c r="AW42" s="81"/>
      <s:c r="AX42" s="40"/>
      <s:c r="AY42" s="82"/>
      <s:c r="AZ42" s="77"/>
      <s:c r="BA42" s="40"/>
      <s:c r="BB42" s="41"/>
      <s:c r="BC42" s="81"/>
      <s:c r="BD42" s="40"/>
      <s:c r="BE42" s="82"/>
      <s:c r="BF42" s="77"/>
      <s:c r="BG42" s="40"/>
      <s:c r="BH42" s="41"/>
      <s:c r="BI42" s="81"/>
      <s:c r="BJ42" s="40"/>
      <s:c r="BK42" s="82"/>
      <s:c r="BL42" s="77"/>
      <s:c r="BM42" s="40"/>
      <s:c r="BN42" s="41"/>
      <s:c r="BO42" s="81"/>
      <s:c r="BP42" s="40"/>
      <s:c r="BQ42" s="82"/>
      <s:c r="BR42" s="202"/>
      <s:c r="BS42" s="40"/>
      <s:c r="BT42" s="41"/>
      <s:c r="BU42" s="81"/>
      <s:c r="BV42" s="40"/>
      <s:c r="BW42" s="82"/>
      <s:c r="BX42" s="77"/>
      <s:c r="BY42" s="40"/>
      <s:c r="BZ42" s="41"/>
      <s:c r="CA42" s="81"/>
      <s:c r="CB42" s="40"/>
      <s:c r="CC42" s="82"/>
      <s:c r="CD42" s="77"/>
      <s:c r="CE42" s="40"/>
      <s:c r="CF42" s="41"/>
      <s:c r="CG42" s="81"/>
      <s:c r="CH42" s="40"/>
      <s:c r="CI42" s="82"/>
      <s:c r="CJ42" s="77"/>
      <s:c r="CK42" s="40"/>
      <s:c r="CL42" s="41"/>
      <s:c r="CM42" s="81"/>
      <s:c r="CN42" s="40"/>
      <s:c r="CO42" s="82"/>
      <s:c r="CP42" s="77"/>
      <s:c r="CQ42" s="40"/>
      <s:c r="CR42" s="41"/>
      <s:c r="CS42" s="67">
        <s:f>SUMIFS(D42:CR42,$D$3:$CR$3,"З")</s:f>
        <s:v>0</s:v>
      </s:c>
      <s:c r="CT42" s="68">
        <s:f>SUMIFS(D42:CR42,$D$3:$CR$3,"О")</s:f>
        <s:v>0</s:v>
      </s:c>
      <s:c r="CU42" s="68">
        <s:f>SUMIFS(D42:CR42,$D$3:$CR$3,"У")</s:f>
        <s:v>0</s:v>
      </s:c>
      <s:c r="CV42" s="42">
        <s:f>IF(C42="Да",CS42*$D$62+CT42*$D$63+CU42*$D$64,CS42*$C$62+CT42*$C$63+CU42*$C$64)</s:f>
        <s:v>0</s:v>
      </s:c>
      <s:c r="CW42" s="43" t="str">
        <s:f>IF(C42="Нет",CV42,"")</s:f>
        <s:v/>
      </s:c>
      <s:c r="CX42" s="44" t="str">
        <s:f>IF(C42="Да",CV42,"")</s:f>
        <s:v/>
      </s:c>
      <s:c r="CY42" s="30" t="str">
        <s:f>IF(C42="Налич",CV42,"")</s:f>
        <s:v/>
      </s:c>
    </s:row>
    <s:row r="43" ht="21.75">
      <s:c r="A43" s="37"/>
      <s:c r="B43" s="38"/>
      <s:c r="C43" s="39"/>
      <s:c r="D43" s="55"/>
      <s:c r="E43" s="56"/>
      <s:c r="F43" s="75"/>
      <s:c r="G43" s="81"/>
      <s:c r="H43" s="40"/>
      <s:c r="I43" s="82"/>
      <s:c r="J43" s="77"/>
      <s:c r="K43" s="40"/>
      <s:c r="L43" s="41"/>
      <s:c r="M43" s="81"/>
      <s:c r="N43" s="40"/>
      <s:c r="O43" s="82"/>
      <s:c r="P43" s="77"/>
      <s:c r="Q43" s="40"/>
      <s:c r="R43" s="41"/>
      <s:c r="S43" s="81"/>
      <s:c r="T43" s="40"/>
      <s:c r="U43" s="82"/>
      <s:c r="V43" s="77"/>
      <s:c r="W43" s="40"/>
      <s:c r="X43" s="41"/>
      <s:c r="Y43" s="81"/>
      <s:c r="Z43" s="40"/>
      <s:c r="AA43" s="82"/>
      <s:c r="AB43" s="77"/>
      <s:c r="AC43" s="40"/>
      <s:c r="AD43" s="41"/>
      <s:c r="AE43" s="81"/>
      <s:c r="AF43" s="40"/>
      <s:c r="AG43" s="82"/>
      <s:c r="AH43" s="77"/>
      <s:c r="AI43" s="40"/>
      <s:c r="AJ43" s="41"/>
      <s:c r="AK43" s="81"/>
      <s:c r="AL43" s="40"/>
      <s:c r="AM43" s="82"/>
      <s:c r="AN43" s="77"/>
      <s:c r="AO43" s="40"/>
      <s:c r="AP43" s="41"/>
      <s:c r="AQ43" s="81"/>
      <s:c r="AR43" s="40"/>
      <s:c r="AS43" s="82"/>
      <s:c r="AT43" s="77"/>
      <s:c r="AU43" s="40"/>
      <s:c r="AV43" s="41"/>
      <s:c r="AW43" s="81"/>
      <s:c r="AX43" s="40"/>
      <s:c r="AY43" s="82"/>
      <s:c r="AZ43" s="77"/>
      <s:c r="BA43" s="40"/>
      <s:c r="BB43" s="41"/>
      <s:c r="BC43" s="81"/>
      <s:c r="BD43" s="40"/>
      <s:c r="BE43" s="82"/>
      <s:c r="BF43" s="77"/>
      <s:c r="BG43" s="40"/>
      <s:c r="BH43" s="41"/>
      <s:c r="BI43" s="81"/>
      <s:c r="BJ43" s="40"/>
      <s:c r="BK43" s="82"/>
      <s:c r="BL43" s="77"/>
      <s:c r="BM43" s="40"/>
      <s:c r="BN43" s="41"/>
      <s:c r="BO43" s="81"/>
      <s:c r="BP43" s="40"/>
      <s:c r="BQ43" s="82"/>
      <s:c r="BR43" s="202"/>
      <s:c r="BS43" s="40"/>
      <s:c r="BT43" s="41"/>
      <s:c r="BU43" s="81"/>
      <s:c r="BV43" s="40"/>
      <s:c r="BW43" s="82"/>
      <s:c r="BX43" s="77"/>
      <s:c r="BY43" s="40"/>
      <s:c r="BZ43" s="41"/>
      <s:c r="CA43" s="81"/>
      <s:c r="CB43" s="40"/>
      <s:c r="CC43" s="82"/>
      <s:c r="CD43" s="77"/>
      <s:c r="CE43" s="40"/>
      <s:c r="CF43" s="41"/>
      <s:c r="CG43" s="81"/>
      <s:c r="CH43" s="40"/>
      <s:c r="CI43" s="82"/>
      <s:c r="CJ43" s="77"/>
      <s:c r="CK43" s="40"/>
      <s:c r="CL43" s="41"/>
      <s:c r="CM43" s="81"/>
      <s:c r="CN43" s="40"/>
      <s:c r="CO43" s="82"/>
      <s:c r="CP43" s="77"/>
      <s:c r="CQ43" s="40"/>
      <s:c r="CR43" s="41"/>
      <s:c r="CS43" s="67">
        <s:f>SUMIFS(D43:CR43,$D$3:$CR$3,"З")</s:f>
        <s:v>0</s:v>
      </s:c>
      <s:c r="CT43" s="68">
        <s:f>SUMIFS(D43:CR43,$D$3:$CR$3,"О")</s:f>
        <s:v>0</s:v>
      </s:c>
      <s:c r="CU43" s="68">
        <s:f>SUMIFS(D43:CR43,$D$3:$CR$3,"У")</s:f>
        <s:v>0</s:v>
      </s:c>
      <s:c r="CV43" s="42">
        <s:f>IF(C43="Да",CS43*$D$62+CT43*$D$63+CU43*$D$64,CS43*$C$62+CT43*$C$63+CU43*$C$64)</s:f>
        <s:v>0</s:v>
      </s:c>
      <s:c r="CW43" s="43" t="str">
        <s:f>IF(C43="Нет",CV43,"")</s:f>
        <s:v/>
      </s:c>
      <s:c r="CX43" s="44" t="str">
        <s:f>IF(C43="Да",CV43,"")</s:f>
        <s:v/>
      </s:c>
      <s:c r="CY43" s="30" t="str">
        <s:f>IF(C43="Налич",CV43,"")</s:f>
        <s:v/>
      </s:c>
    </s:row>
    <s:row r="44" ht="21.75">
      <s:c r="A44" s="37"/>
      <s:c r="B44" s="38"/>
      <s:c r="C44" s="39"/>
      <s:c r="D44" s="55"/>
      <s:c r="E44" s="56"/>
      <s:c r="F44" s="75"/>
      <s:c r="G44" s="81"/>
      <s:c r="H44" s="40"/>
      <s:c r="I44" s="82"/>
      <s:c r="J44" s="77"/>
      <s:c r="K44" s="40"/>
      <s:c r="L44" s="41"/>
      <s:c r="M44" s="81"/>
      <s:c r="N44" s="40"/>
      <s:c r="O44" s="82"/>
      <s:c r="P44" s="77"/>
      <s:c r="Q44" s="40"/>
      <s:c r="R44" s="41"/>
      <s:c r="S44" s="81"/>
      <s:c r="T44" s="40"/>
      <s:c r="U44" s="82"/>
      <s:c r="V44" s="77"/>
      <s:c r="W44" s="40"/>
      <s:c r="X44" s="41"/>
      <s:c r="Y44" s="81"/>
      <s:c r="Z44" s="40"/>
      <s:c r="AA44" s="82"/>
      <s:c r="AB44" s="77"/>
      <s:c r="AC44" s="40"/>
      <s:c r="AD44" s="41"/>
      <s:c r="AE44" s="81"/>
      <s:c r="AF44" s="40"/>
      <s:c r="AG44" s="82"/>
      <s:c r="AH44" s="77"/>
      <s:c r="AI44" s="40"/>
      <s:c r="AJ44" s="41"/>
      <s:c r="AK44" s="81"/>
      <s:c r="AL44" s="40"/>
      <s:c r="AM44" s="82"/>
      <s:c r="AN44" s="77"/>
      <s:c r="AO44" s="40"/>
      <s:c r="AP44" s="41"/>
      <s:c r="AQ44" s="81"/>
      <s:c r="AR44" s="40"/>
      <s:c r="AS44" s="82"/>
      <s:c r="AT44" s="77"/>
      <s:c r="AU44" s="40"/>
      <s:c r="AV44" s="41"/>
      <s:c r="AW44" s="81"/>
      <s:c r="AX44" s="40"/>
      <s:c r="AY44" s="82"/>
      <s:c r="AZ44" s="77"/>
      <s:c r="BA44" s="40"/>
      <s:c r="BB44" s="41"/>
      <s:c r="BC44" s="81"/>
      <s:c r="BD44" s="40"/>
      <s:c r="BE44" s="82"/>
      <s:c r="BF44" s="77"/>
      <s:c r="BG44" s="40"/>
      <s:c r="BH44" s="41"/>
      <s:c r="BI44" s="81"/>
      <s:c r="BJ44" s="40"/>
      <s:c r="BK44" s="82"/>
      <s:c r="BL44" s="77"/>
      <s:c r="BM44" s="40"/>
      <s:c r="BN44" s="41"/>
      <s:c r="BO44" s="81"/>
      <s:c r="BP44" s="40"/>
      <s:c r="BQ44" s="82"/>
      <s:c r="BR44" s="202"/>
      <s:c r="BS44" s="40"/>
      <s:c r="BT44" s="41"/>
      <s:c r="BU44" s="81"/>
      <s:c r="BV44" s="40"/>
      <s:c r="BW44" s="82"/>
      <s:c r="BX44" s="77"/>
      <s:c r="BY44" s="40"/>
      <s:c r="BZ44" s="41"/>
      <s:c r="CA44" s="81"/>
      <s:c r="CB44" s="40"/>
      <s:c r="CC44" s="82"/>
      <s:c r="CD44" s="77"/>
      <s:c r="CE44" s="40"/>
      <s:c r="CF44" s="41"/>
      <s:c r="CG44" s="81"/>
      <s:c r="CH44" s="40"/>
      <s:c r="CI44" s="82"/>
      <s:c r="CJ44" s="77"/>
      <s:c r="CK44" s="40"/>
      <s:c r="CL44" s="41"/>
      <s:c r="CM44" s="81"/>
      <s:c r="CN44" s="40"/>
      <s:c r="CO44" s="82"/>
      <s:c r="CP44" s="77"/>
      <s:c r="CQ44" s="40"/>
      <s:c r="CR44" s="41"/>
      <s:c r="CS44" s="67">
        <s:f>SUMIFS(D44:CR44,$D$3:$CR$3,"З")</s:f>
        <s:v>0</s:v>
      </s:c>
      <s:c r="CT44" s="68">
        <s:f>SUMIFS(D44:CR44,$D$3:$CR$3,"О")</s:f>
        <s:v>0</s:v>
      </s:c>
      <s:c r="CU44" s="68">
        <s:f>SUMIFS(D44:CR44,$D$3:$CR$3,"У")</s:f>
        <s:v>0</s:v>
      </s:c>
      <s:c r="CV44" s="42">
        <s:f>IF(C44="Да",CS44*$D$62+CT44*$D$63+CU44*$D$64,CS44*$C$62+CT44*$C$63+CU44*$C$64)</s:f>
        <s:v>0</s:v>
      </s:c>
      <s:c r="CW44" s="43" t="str">
        <s:f>IF(C44="Нет",CV44,"")</s:f>
        <s:v/>
      </s:c>
      <s:c r="CX44" s="44" t="str">
        <s:f>IF(C44="Да",CV44,"")</s:f>
        <s:v/>
      </s:c>
      <s:c r="CY44" s="30" t="str">
        <s:f>IF(C44="Налич",CV44,"")</s:f>
        <s:v/>
      </s:c>
    </s:row>
    <s:row r="45" ht="21.75">
      <s:c r="A45" s="37"/>
      <s:c r="B45" s="38"/>
      <s:c r="C45" s="39"/>
      <s:c r="D45" s="55"/>
      <s:c r="E45" s="56"/>
      <s:c r="F45" s="75"/>
      <s:c r="G45" s="81"/>
      <s:c r="H45" s="40"/>
      <s:c r="I45" s="82"/>
      <s:c r="J45" s="77"/>
      <s:c r="K45" s="40"/>
      <s:c r="L45" s="41"/>
      <s:c r="M45" s="81"/>
      <s:c r="N45" s="40"/>
      <s:c r="O45" s="82"/>
      <s:c r="P45" s="77"/>
      <s:c r="Q45" s="40"/>
      <s:c r="R45" s="41"/>
      <s:c r="S45" s="81"/>
      <s:c r="T45" s="40"/>
      <s:c r="U45" s="82"/>
      <s:c r="V45" s="77"/>
      <s:c r="W45" s="40"/>
      <s:c r="X45" s="41"/>
      <s:c r="Y45" s="81"/>
      <s:c r="Z45" s="40"/>
      <s:c r="AA45" s="82"/>
      <s:c r="AB45" s="77"/>
      <s:c r="AC45" s="40"/>
      <s:c r="AD45" s="41"/>
      <s:c r="AE45" s="81"/>
      <s:c r="AF45" s="40"/>
      <s:c r="AG45" s="82"/>
      <s:c r="AH45" s="77"/>
      <s:c r="AI45" s="40"/>
      <s:c r="AJ45" s="41"/>
      <s:c r="AK45" s="81"/>
      <s:c r="AL45" s="40"/>
      <s:c r="AM45" s="82"/>
      <s:c r="AN45" s="77"/>
      <s:c r="AO45" s="40"/>
      <s:c r="AP45" s="41"/>
      <s:c r="AQ45" s="81"/>
      <s:c r="AR45" s="40"/>
      <s:c r="AS45" s="82"/>
      <s:c r="AT45" s="77"/>
      <s:c r="AU45" s="40"/>
      <s:c r="AV45" s="41"/>
      <s:c r="AW45" s="81"/>
      <s:c r="AX45" s="40"/>
      <s:c r="AY45" s="82"/>
      <s:c r="AZ45" s="77"/>
      <s:c r="BA45" s="40"/>
      <s:c r="BB45" s="41"/>
      <s:c r="BC45" s="81"/>
      <s:c r="BD45" s="40"/>
      <s:c r="BE45" s="82"/>
      <s:c r="BF45" s="77"/>
      <s:c r="BG45" s="40"/>
      <s:c r="BH45" s="41"/>
      <s:c r="BI45" s="81"/>
      <s:c r="BJ45" s="40"/>
      <s:c r="BK45" s="82"/>
      <s:c r="BL45" s="77"/>
      <s:c r="BM45" s="40"/>
      <s:c r="BN45" s="41"/>
      <s:c r="BO45" s="81"/>
      <s:c r="BP45" s="40"/>
      <s:c r="BQ45" s="82"/>
      <s:c r="BR45" s="202"/>
      <s:c r="BS45" s="40"/>
      <s:c r="BT45" s="41"/>
      <s:c r="BU45" s="81"/>
      <s:c r="BV45" s="40"/>
      <s:c r="BW45" s="82"/>
      <s:c r="BX45" s="77"/>
      <s:c r="BY45" s="40"/>
      <s:c r="BZ45" s="41"/>
      <s:c r="CA45" s="81"/>
      <s:c r="CB45" s="40"/>
      <s:c r="CC45" s="82"/>
      <s:c r="CD45" s="77"/>
      <s:c r="CE45" s="40"/>
      <s:c r="CF45" s="41"/>
      <s:c r="CG45" s="81"/>
      <s:c r="CH45" s="40"/>
      <s:c r="CI45" s="82"/>
      <s:c r="CJ45" s="77"/>
      <s:c r="CK45" s="40"/>
      <s:c r="CL45" s="41"/>
      <s:c r="CM45" s="81"/>
      <s:c r="CN45" s="40"/>
      <s:c r="CO45" s="82"/>
      <s:c r="CP45" s="77"/>
      <s:c r="CQ45" s="40"/>
      <s:c r="CR45" s="41"/>
      <s:c r="CS45" s="67">
        <s:f>SUMIFS(D45:CR45,$D$3:$CR$3,"З")</s:f>
        <s:v>0</s:v>
      </s:c>
      <s:c r="CT45" s="68">
        <s:f>SUMIFS(D45:CR45,$D$3:$CR$3,"О")</s:f>
        <s:v>0</s:v>
      </s:c>
      <s:c r="CU45" s="68">
        <s:f>SUMIFS(D45:CR45,$D$3:$CR$3,"У")</s:f>
        <s:v>0</s:v>
      </s:c>
      <s:c r="CV45" s="42">
        <s:f>IF(C45="Да",CS45*$D$62+CT45*$D$63+CU45*$D$64,CS45*$C$62+CT45*$C$63+CU45*$C$64)</s:f>
        <s:v>0</s:v>
      </s:c>
      <s:c r="CW45" s="43" t="str">
        <s:f>IF(C45="Нет",CV45,"")</s:f>
        <s:v/>
      </s:c>
      <s:c r="CX45" s="44" t="str">
        <s:f>IF(C45="Да",CV45,"")</s:f>
        <s:v/>
      </s:c>
      <s:c r="CY45" s="30" t="str">
        <s:f>IF(C45="Налич",CV45,"")</s:f>
        <s:v/>
      </s:c>
    </s:row>
    <s:row r="46" ht="21.75">
      <s:c r="A46" s="37"/>
      <s:c r="B46" s="38"/>
      <s:c r="C46" s="39"/>
      <s:c r="D46" s="55"/>
      <s:c r="E46" s="56"/>
      <s:c r="F46" s="75"/>
      <s:c r="G46" s="81"/>
      <s:c r="H46" s="40"/>
      <s:c r="I46" s="82"/>
      <s:c r="J46" s="77"/>
      <s:c r="K46" s="40"/>
      <s:c r="L46" s="41"/>
      <s:c r="M46" s="81"/>
      <s:c r="N46" s="40"/>
      <s:c r="O46" s="82"/>
      <s:c r="P46" s="77"/>
      <s:c r="Q46" s="40"/>
      <s:c r="R46" s="41"/>
      <s:c r="S46" s="81"/>
      <s:c r="T46" s="40"/>
      <s:c r="U46" s="82"/>
      <s:c r="V46" s="77"/>
      <s:c r="W46" s="40"/>
      <s:c r="X46" s="41"/>
      <s:c r="Y46" s="81"/>
      <s:c r="Z46" s="40"/>
      <s:c r="AA46" s="82"/>
      <s:c r="AB46" s="77"/>
      <s:c r="AC46" s="40"/>
      <s:c r="AD46" s="41"/>
      <s:c r="AE46" s="81"/>
      <s:c r="AF46" s="40"/>
      <s:c r="AG46" s="82"/>
      <s:c r="AH46" s="77"/>
      <s:c r="AI46" s="40"/>
      <s:c r="AJ46" s="41"/>
      <s:c r="AK46" s="81"/>
      <s:c r="AL46" s="40"/>
      <s:c r="AM46" s="82"/>
      <s:c r="AN46" s="77"/>
      <s:c r="AO46" s="40"/>
      <s:c r="AP46" s="41"/>
      <s:c r="AQ46" s="81"/>
      <s:c r="AR46" s="40"/>
      <s:c r="AS46" s="82"/>
      <s:c r="AT46" s="77"/>
      <s:c r="AU46" s="40"/>
      <s:c r="AV46" s="41"/>
      <s:c r="AW46" s="81"/>
      <s:c r="AX46" s="40"/>
      <s:c r="AY46" s="82"/>
      <s:c r="AZ46" s="77"/>
      <s:c r="BA46" s="40"/>
      <s:c r="BB46" s="41"/>
      <s:c r="BC46" s="81"/>
      <s:c r="BD46" s="40"/>
      <s:c r="BE46" s="82"/>
      <s:c r="BF46" s="77"/>
      <s:c r="BG46" s="40"/>
      <s:c r="BH46" s="41"/>
      <s:c r="BI46" s="81"/>
      <s:c r="BJ46" s="40"/>
      <s:c r="BK46" s="82"/>
      <s:c r="BL46" s="77"/>
      <s:c r="BM46" s="40"/>
      <s:c r="BN46" s="41"/>
      <s:c r="BO46" s="81"/>
      <s:c r="BP46" s="40"/>
      <s:c r="BQ46" s="82"/>
      <s:c r="BR46" s="202"/>
      <s:c r="BS46" s="40"/>
      <s:c r="BT46" s="41"/>
      <s:c r="BU46" s="81"/>
      <s:c r="BV46" s="40"/>
      <s:c r="BW46" s="82"/>
      <s:c r="BX46" s="77"/>
      <s:c r="BY46" s="40"/>
      <s:c r="BZ46" s="41"/>
      <s:c r="CA46" s="81"/>
      <s:c r="CB46" s="40"/>
      <s:c r="CC46" s="82"/>
      <s:c r="CD46" s="77"/>
      <s:c r="CE46" s="40"/>
      <s:c r="CF46" s="41"/>
      <s:c r="CG46" s="81"/>
      <s:c r="CH46" s="40"/>
      <s:c r="CI46" s="82"/>
      <s:c r="CJ46" s="77"/>
      <s:c r="CK46" s="40"/>
      <s:c r="CL46" s="41"/>
      <s:c r="CM46" s="81"/>
      <s:c r="CN46" s="40"/>
      <s:c r="CO46" s="82"/>
      <s:c r="CP46" s="77"/>
      <s:c r="CQ46" s="40"/>
      <s:c r="CR46" s="41"/>
      <s:c r="CS46" s="67">
        <s:f>SUMIFS(D46:CR46,$D$3:$CR$3,"З")</s:f>
        <s:v>0</s:v>
      </s:c>
      <s:c r="CT46" s="68">
        <s:f>SUMIFS(D46:CR46,$D$3:$CR$3,"О")</s:f>
        <s:v>0</s:v>
      </s:c>
      <s:c r="CU46" s="68">
        <s:f>SUMIFS(D46:CR46,$D$3:$CR$3,"У")</s:f>
        <s:v>0</s:v>
      </s:c>
      <s:c r="CV46" s="42">
        <s:f>IF(C46="Да",CS46*$D$62+CT46*$D$63+CU46*$D$64,CS46*$C$62+CT46*$C$63+CU46*$C$64)</s:f>
        <s:v>0</s:v>
      </s:c>
      <s:c r="CW46" s="43" t="str">
        <s:f>IF(C46="Нет",CV46,"")</s:f>
        <s:v/>
      </s:c>
      <s:c r="CX46" s="44" t="str">
        <s:f>IF(C46="Да",CV46,"")</s:f>
        <s:v/>
      </s:c>
      <s:c r="CY46" s="30" t="str">
        <s:f>IF(C46="Налич",CV46,"")</s:f>
        <s:v/>
      </s:c>
    </s:row>
    <s:row r="47" ht="21.75">
      <s:c r="A47" s="37"/>
      <s:c r="B47" s="38"/>
      <s:c r="C47" s="39"/>
      <s:c r="D47" s="55"/>
      <s:c r="E47" s="56"/>
      <s:c r="F47" s="75"/>
      <s:c r="G47" s="81"/>
      <s:c r="H47" s="40"/>
      <s:c r="I47" s="82"/>
      <s:c r="J47" s="77"/>
      <s:c r="K47" s="40"/>
      <s:c r="L47" s="41"/>
      <s:c r="M47" s="81"/>
      <s:c r="N47" s="40"/>
      <s:c r="O47" s="82"/>
      <s:c r="P47" s="77"/>
      <s:c r="Q47" s="40"/>
      <s:c r="R47" s="41"/>
      <s:c r="S47" s="81"/>
      <s:c r="T47" s="40"/>
      <s:c r="U47" s="82"/>
      <s:c r="V47" s="77"/>
      <s:c r="W47" s="40"/>
      <s:c r="X47" s="41"/>
      <s:c r="Y47" s="81"/>
      <s:c r="Z47" s="40"/>
      <s:c r="AA47" s="82"/>
      <s:c r="AB47" s="77"/>
      <s:c r="AC47" s="40"/>
      <s:c r="AD47" s="41"/>
      <s:c r="AE47" s="81"/>
      <s:c r="AF47" s="40"/>
      <s:c r="AG47" s="82"/>
      <s:c r="AH47" s="77"/>
      <s:c r="AI47" s="40"/>
      <s:c r="AJ47" s="41"/>
      <s:c r="AK47" s="81"/>
      <s:c r="AL47" s="40"/>
      <s:c r="AM47" s="82"/>
      <s:c r="AN47" s="77"/>
      <s:c r="AO47" s="40"/>
      <s:c r="AP47" s="41"/>
      <s:c r="AQ47" s="81"/>
      <s:c r="AR47" s="40"/>
      <s:c r="AS47" s="82"/>
      <s:c r="AT47" s="77"/>
      <s:c r="AU47" s="40"/>
      <s:c r="AV47" s="41"/>
      <s:c r="AW47" s="81"/>
      <s:c r="AX47" s="40"/>
      <s:c r="AY47" s="82"/>
      <s:c r="AZ47" s="77"/>
      <s:c r="BA47" s="40"/>
      <s:c r="BB47" s="41"/>
      <s:c r="BC47" s="81"/>
      <s:c r="BD47" s="40"/>
      <s:c r="BE47" s="82"/>
      <s:c r="BF47" s="77"/>
      <s:c r="BG47" s="40"/>
      <s:c r="BH47" s="41"/>
      <s:c r="BI47" s="81"/>
      <s:c r="BJ47" s="40"/>
      <s:c r="BK47" s="82"/>
      <s:c r="BL47" s="77"/>
      <s:c r="BM47" s="40"/>
      <s:c r="BN47" s="41"/>
      <s:c r="BO47" s="81"/>
      <s:c r="BP47" s="40"/>
      <s:c r="BQ47" s="82"/>
      <s:c r="BR47" s="202"/>
      <s:c r="BS47" s="40"/>
      <s:c r="BT47" s="41"/>
      <s:c r="BU47" s="81"/>
      <s:c r="BV47" s="40"/>
      <s:c r="BW47" s="82"/>
      <s:c r="BX47" s="77"/>
      <s:c r="BY47" s="40"/>
      <s:c r="BZ47" s="41"/>
      <s:c r="CA47" s="81"/>
      <s:c r="CB47" s="40"/>
      <s:c r="CC47" s="82"/>
      <s:c r="CD47" s="77"/>
      <s:c r="CE47" s="40"/>
      <s:c r="CF47" s="41"/>
      <s:c r="CG47" s="81"/>
      <s:c r="CH47" s="40"/>
      <s:c r="CI47" s="82"/>
      <s:c r="CJ47" s="77"/>
      <s:c r="CK47" s="40"/>
      <s:c r="CL47" s="41"/>
      <s:c r="CM47" s="81"/>
      <s:c r="CN47" s="40"/>
      <s:c r="CO47" s="82"/>
      <s:c r="CP47" s="77"/>
      <s:c r="CQ47" s="40"/>
      <s:c r="CR47" s="41"/>
      <s:c r="CS47" s="67">
        <s:f>SUMIFS(D47:CR47,$D$3:$CR$3,"З")</s:f>
        <s:v>0</s:v>
      </s:c>
      <s:c r="CT47" s="68">
        <s:f>SUMIFS(D47:CR47,$D$3:$CR$3,"О")</s:f>
        <s:v>0</s:v>
      </s:c>
      <s:c r="CU47" s="68">
        <s:f>SUMIFS(D47:CR47,$D$3:$CR$3,"У")</s:f>
        <s:v>0</s:v>
      </s:c>
      <s:c r="CV47" s="42">
        <s:f>IF(C47="Да",CS47*$D$62+CT47*$D$63+CU47*$D$64,CS47*$C$62+CT47*$C$63+CU47*$C$64)</s:f>
        <s:v>0</s:v>
      </s:c>
      <s:c r="CW47" s="43" t="str">
        <s:f>IF(C47="Нет",CV47,"")</s:f>
        <s:v/>
      </s:c>
      <s:c r="CX47" s="44" t="str">
        <s:f>IF(C47="Да",CV47,"")</s:f>
        <s:v/>
      </s:c>
      <s:c r="CY47" s="30" t="str">
        <s:f>IF(C47="Налич",CV47,"")</s:f>
        <s:v/>
      </s:c>
    </s:row>
    <s:row r="48" ht="21.75">
      <s:c r="A48" s="37"/>
      <s:c r="B48" s="38"/>
      <s:c r="C48" s="39"/>
      <s:c r="D48" s="55"/>
      <s:c r="E48" s="56"/>
      <s:c r="F48" s="75"/>
      <s:c r="G48" s="81"/>
      <s:c r="H48" s="40"/>
      <s:c r="I48" s="82"/>
      <s:c r="J48" s="77"/>
      <s:c r="K48" s="40"/>
      <s:c r="L48" s="41"/>
      <s:c r="M48" s="81"/>
      <s:c r="N48" s="40"/>
      <s:c r="O48" s="82"/>
      <s:c r="P48" s="77"/>
      <s:c r="Q48" s="40"/>
      <s:c r="R48" s="41"/>
      <s:c r="S48" s="81"/>
      <s:c r="T48" s="40"/>
      <s:c r="U48" s="82"/>
      <s:c r="V48" s="77"/>
      <s:c r="W48" s="40"/>
      <s:c r="X48" s="41"/>
      <s:c r="Y48" s="81"/>
      <s:c r="Z48" s="40"/>
      <s:c r="AA48" s="82"/>
      <s:c r="AB48" s="77"/>
      <s:c r="AC48" s="40"/>
      <s:c r="AD48" s="41"/>
      <s:c r="AE48" s="81"/>
      <s:c r="AF48" s="40"/>
      <s:c r="AG48" s="82"/>
      <s:c r="AH48" s="77"/>
      <s:c r="AI48" s="40"/>
      <s:c r="AJ48" s="41"/>
      <s:c r="AK48" s="81"/>
      <s:c r="AL48" s="40"/>
      <s:c r="AM48" s="82"/>
      <s:c r="AN48" s="77"/>
      <s:c r="AO48" s="40"/>
      <s:c r="AP48" s="41"/>
      <s:c r="AQ48" s="81"/>
      <s:c r="AR48" s="40"/>
      <s:c r="AS48" s="82"/>
      <s:c r="AT48" s="77"/>
      <s:c r="AU48" s="40"/>
      <s:c r="AV48" s="41"/>
      <s:c r="AW48" s="81"/>
      <s:c r="AX48" s="40"/>
      <s:c r="AY48" s="82"/>
      <s:c r="AZ48" s="77"/>
      <s:c r="BA48" s="40"/>
      <s:c r="BB48" s="41"/>
      <s:c r="BC48" s="81"/>
      <s:c r="BD48" s="40"/>
      <s:c r="BE48" s="82"/>
      <s:c r="BF48" s="77"/>
      <s:c r="BG48" s="40"/>
      <s:c r="BH48" s="41"/>
      <s:c r="BI48" s="81"/>
      <s:c r="BJ48" s="40"/>
      <s:c r="BK48" s="82"/>
      <s:c r="BL48" s="77"/>
      <s:c r="BM48" s="40"/>
      <s:c r="BN48" s="41"/>
      <s:c r="BO48" s="81"/>
      <s:c r="BP48" s="40"/>
      <s:c r="BQ48" s="82"/>
      <s:c r="BR48" s="202"/>
      <s:c r="BS48" s="40"/>
      <s:c r="BT48" s="41"/>
      <s:c r="BU48" s="81"/>
      <s:c r="BV48" s="40"/>
      <s:c r="BW48" s="82"/>
      <s:c r="BX48" s="77"/>
      <s:c r="BY48" s="40"/>
      <s:c r="BZ48" s="41"/>
      <s:c r="CA48" s="81"/>
      <s:c r="CB48" s="40"/>
      <s:c r="CC48" s="82"/>
      <s:c r="CD48" s="77"/>
      <s:c r="CE48" s="40"/>
      <s:c r="CF48" s="41"/>
      <s:c r="CG48" s="81"/>
      <s:c r="CH48" s="40"/>
      <s:c r="CI48" s="82"/>
      <s:c r="CJ48" s="77"/>
      <s:c r="CK48" s="40"/>
      <s:c r="CL48" s="41"/>
      <s:c r="CM48" s="81"/>
      <s:c r="CN48" s="40"/>
      <s:c r="CO48" s="82"/>
      <s:c r="CP48" s="77"/>
      <s:c r="CQ48" s="40"/>
      <s:c r="CR48" s="41"/>
      <s:c r="CS48" s="67">
        <s:f>SUMIFS(D48:CR48,$D$3:$CR$3,"З")</s:f>
        <s:v>0</s:v>
      </s:c>
      <s:c r="CT48" s="68">
        <s:f>SUMIFS(D48:CR48,$D$3:$CR$3,"О")</s:f>
        <s:v>0</s:v>
      </s:c>
      <s:c r="CU48" s="68">
        <s:f>SUMIFS(D48:CR48,$D$3:$CR$3,"У")</s:f>
        <s:v>0</s:v>
      </s:c>
      <s:c r="CV48" s="42">
        <s:f>IF(C48="Да",CS48*$D$62+CT48*$D$63+CU48*$D$64,CS48*$C$62+CT48*$C$63+CU48*$C$64)</s:f>
        <s:v>0</s:v>
      </s:c>
      <s:c r="CW48" s="43" t="str">
        <s:f>IF(C48="Нет",CV48,"")</s:f>
        <s:v/>
      </s:c>
      <s:c r="CX48" s="44" t="str">
        <s:f>IF(C48="Да",CV48,"")</s:f>
        <s:v/>
      </s:c>
      <s:c r="CY48" s="30" t="str">
        <s:f>IF(C48="Налич",CV48,"")</s:f>
        <s:v/>
      </s:c>
    </s:row>
    <s:row r="49" ht="21.75">
      <s:c r="A49" s="37"/>
      <s:c r="B49" s="38"/>
      <s:c r="C49" s="39"/>
      <s:c r="D49" s="55"/>
      <s:c r="E49" s="56"/>
      <s:c r="F49" s="75"/>
      <s:c r="G49" s="81"/>
      <s:c r="H49" s="40"/>
      <s:c r="I49" s="82"/>
      <s:c r="J49" s="77"/>
      <s:c r="K49" s="40"/>
      <s:c r="L49" s="41"/>
      <s:c r="M49" s="81"/>
      <s:c r="N49" s="40"/>
      <s:c r="O49" s="82"/>
      <s:c r="P49" s="77"/>
      <s:c r="Q49" s="40"/>
      <s:c r="R49" s="41"/>
      <s:c r="S49" s="81"/>
      <s:c r="T49" s="40"/>
      <s:c r="U49" s="82"/>
      <s:c r="V49" s="77"/>
      <s:c r="W49" s="40"/>
      <s:c r="X49" s="41"/>
      <s:c r="Y49" s="81"/>
      <s:c r="Z49" s="40"/>
      <s:c r="AA49" s="82"/>
      <s:c r="AB49" s="77"/>
      <s:c r="AC49" s="40"/>
      <s:c r="AD49" s="41"/>
      <s:c r="AE49" s="81"/>
      <s:c r="AF49" s="40"/>
      <s:c r="AG49" s="82"/>
      <s:c r="AH49" s="77"/>
      <s:c r="AI49" s="40"/>
      <s:c r="AJ49" s="41"/>
      <s:c r="AK49" s="81"/>
      <s:c r="AL49" s="40"/>
      <s:c r="AM49" s="82"/>
      <s:c r="AN49" s="77"/>
      <s:c r="AO49" s="40"/>
      <s:c r="AP49" s="41"/>
      <s:c r="AQ49" s="81"/>
      <s:c r="AR49" s="40"/>
      <s:c r="AS49" s="82"/>
      <s:c r="AT49" s="77"/>
      <s:c r="AU49" s="40"/>
      <s:c r="AV49" s="41"/>
      <s:c r="AW49" s="81"/>
      <s:c r="AX49" s="40"/>
      <s:c r="AY49" s="82"/>
      <s:c r="AZ49" s="77"/>
      <s:c r="BA49" s="40"/>
      <s:c r="BB49" s="41"/>
      <s:c r="BC49" s="81"/>
      <s:c r="BD49" s="40"/>
      <s:c r="BE49" s="82"/>
      <s:c r="BF49" s="77"/>
      <s:c r="BG49" s="40"/>
      <s:c r="BH49" s="41"/>
      <s:c r="BI49" s="81"/>
      <s:c r="BJ49" s="40"/>
      <s:c r="BK49" s="82"/>
      <s:c r="BL49" s="77"/>
      <s:c r="BM49" s="40"/>
      <s:c r="BN49" s="41"/>
      <s:c r="BO49" s="81"/>
      <s:c r="BP49" s="40"/>
      <s:c r="BQ49" s="82"/>
      <s:c r="BR49" s="202"/>
      <s:c r="BS49" s="40"/>
      <s:c r="BT49" s="41"/>
      <s:c r="BU49" s="81"/>
      <s:c r="BV49" s="40"/>
      <s:c r="BW49" s="82"/>
      <s:c r="BX49" s="77"/>
      <s:c r="BY49" s="40"/>
      <s:c r="BZ49" s="41"/>
      <s:c r="CA49" s="81"/>
      <s:c r="CB49" s="40"/>
      <s:c r="CC49" s="82"/>
      <s:c r="CD49" s="77"/>
      <s:c r="CE49" s="40"/>
      <s:c r="CF49" s="41"/>
      <s:c r="CG49" s="81"/>
      <s:c r="CH49" s="40"/>
      <s:c r="CI49" s="82"/>
      <s:c r="CJ49" s="77"/>
      <s:c r="CK49" s="40"/>
      <s:c r="CL49" s="41"/>
      <s:c r="CM49" s="81"/>
      <s:c r="CN49" s="40"/>
      <s:c r="CO49" s="82"/>
      <s:c r="CP49" s="77"/>
      <s:c r="CQ49" s="40"/>
      <s:c r="CR49" s="41"/>
      <s:c r="CS49" s="67">
        <s:f>SUMIFS(D49:CR49,$D$3:$CR$3,"З")</s:f>
        <s:v>0</s:v>
      </s:c>
      <s:c r="CT49" s="68">
        <s:f>SUMIFS(D49:CR49,$D$3:$CR$3,"О")</s:f>
        <s:v>0</s:v>
      </s:c>
      <s:c r="CU49" s="68">
        <s:f>SUMIFS(D49:CR49,$D$3:$CR$3,"У")</s:f>
        <s:v>0</s:v>
      </s:c>
      <s:c r="CV49" s="42">
        <s:f>IF(C49="Да",CS49*$D$62+CT49*$D$63+CU49*$D$64,CS49*$C$62+CT49*$C$63+CU49*$C$64)</s:f>
        <s:v>0</s:v>
      </s:c>
      <s:c r="CW49" s="43" t="str">
        <s:f>IF(C49="Нет",CV49,"")</s:f>
        <s:v/>
      </s:c>
      <s:c r="CX49" s="44" t="str">
        <s:f>IF(C49="Да",CV49,"")</s:f>
        <s:v/>
      </s:c>
      <s:c r="CY49" s="30" t="str">
        <s:f>IF(C49="Налич",CV49,"")</s:f>
        <s:v/>
      </s:c>
    </s:row>
    <s:row r="50" ht="21.75">
      <s:c r="A50" s="37"/>
      <s:c r="B50" s="38"/>
      <s:c r="C50" s="39"/>
      <s:c r="D50" s="55"/>
      <s:c r="E50" s="56"/>
      <s:c r="F50" s="75"/>
      <s:c r="G50" s="81"/>
      <s:c r="H50" s="40"/>
      <s:c r="I50" s="82"/>
      <s:c r="J50" s="77"/>
      <s:c r="K50" s="40"/>
      <s:c r="L50" s="41"/>
      <s:c r="M50" s="81"/>
      <s:c r="N50" s="40"/>
      <s:c r="O50" s="82"/>
      <s:c r="P50" s="77"/>
      <s:c r="Q50" s="40"/>
      <s:c r="R50" s="41"/>
      <s:c r="S50" s="81"/>
      <s:c r="T50" s="40"/>
      <s:c r="U50" s="82"/>
      <s:c r="V50" s="77"/>
      <s:c r="W50" s="40"/>
      <s:c r="X50" s="41"/>
      <s:c r="Y50" s="81"/>
      <s:c r="Z50" s="40"/>
      <s:c r="AA50" s="82"/>
      <s:c r="AB50" s="77"/>
      <s:c r="AC50" s="40"/>
      <s:c r="AD50" s="41"/>
      <s:c r="AE50" s="81"/>
      <s:c r="AF50" s="40"/>
      <s:c r="AG50" s="82"/>
      <s:c r="AH50" s="77"/>
      <s:c r="AI50" s="40"/>
      <s:c r="AJ50" s="41"/>
      <s:c r="AK50" s="81"/>
      <s:c r="AL50" s="40"/>
      <s:c r="AM50" s="82"/>
      <s:c r="AN50" s="77"/>
      <s:c r="AO50" s="40"/>
      <s:c r="AP50" s="41"/>
      <s:c r="AQ50" s="81"/>
      <s:c r="AR50" s="40"/>
      <s:c r="AS50" s="82"/>
      <s:c r="AT50" s="77"/>
      <s:c r="AU50" s="40"/>
      <s:c r="AV50" s="41"/>
      <s:c r="AW50" s="81"/>
      <s:c r="AX50" s="40"/>
      <s:c r="AY50" s="82"/>
      <s:c r="AZ50" s="77"/>
      <s:c r="BA50" s="40"/>
      <s:c r="BB50" s="41"/>
      <s:c r="BC50" s="81"/>
      <s:c r="BD50" s="40"/>
      <s:c r="BE50" s="82"/>
      <s:c r="BF50" s="77"/>
      <s:c r="BG50" s="40"/>
      <s:c r="BH50" s="41"/>
      <s:c r="BI50" s="81"/>
      <s:c r="BJ50" s="40"/>
      <s:c r="BK50" s="82"/>
      <s:c r="BL50" s="77"/>
      <s:c r="BM50" s="40"/>
      <s:c r="BN50" s="41"/>
      <s:c r="BO50" s="81"/>
      <s:c r="BP50" s="40"/>
      <s:c r="BQ50" s="82"/>
      <s:c r="BR50" s="202"/>
      <s:c r="BS50" s="40"/>
      <s:c r="BT50" s="41"/>
      <s:c r="BU50" s="81"/>
      <s:c r="BV50" s="40"/>
      <s:c r="BW50" s="82"/>
      <s:c r="BX50" s="77"/>
      <s:c r="BY50" s="40"/>
      <s:c r="BZ50" s="41"/>
      <s:c r="CA50" s="81"/>
      <s:c r="CB50" s="40"/>
      <s:c r="CC50" s="82"/>
      <s:c r="CD50" s="77"/>
      <s:c r="CE50" s="40"/>
      <s:c r="CF50" s="41"/>
      <s:c r="CG50" s="81"/>
      <s:c r="CH50" s="40"/>
      <s:c r="CI50" s="82"/>
      <s:c r="CJ50" s="77"/>
      <s:c r="CK50" s="40"/>
      <s:c r="CL50" s="41"/>
      <s:c r="CM50" s="81"/>
      <s:c r="CN50" s="40"/>
      <s:c r="CO50" s="82"/>
      <s:c r="CP50" s="77"/>
      <s:c r="CQ50" s="40"/>
      <s:c r="CR50" s="41"/>
      <s:c r="CS50" s="67">
        <s:f>SUMIFS(D50:CR50,$D$3:$CR$3,"З")</s:f>
        <s:v>0</s:v>
      </s:c>
      <s:c r="CT50" s="68">
        <s:f>SUMIFS(D50:CR50,$D$3:$CR$3,"О")</s:f>
        <s:v>0</s:v>
      </s:c>
      <s:c r="CU50" s="68">
        <s:f>SUMIFS(D50:CR50,$D$3:$CR$3,"У")</s:f>
        <s:v>0</s:v>
      </s:c>
      <s:c r="CV50" s="42">
        <s:f>IF(C50="Да",CS50*$D$62+CT50*$D$63+CU50*$D$64,CS50*$C$62+CT50*$C$63+CU50*$C$64)</s:f>
        <s:v>0</s:v>
      </s:c>
      <s:c r="CW50" s="43" t="str">
        <s:f>IF(C50="Нет",CV50,"")</s:f>
        <s:v/>
      </s:c>
      <s:c r="CX50" s="44" t="str">
        <s:f>IF(C50="Да",CV50,"")</s:f>
        <s:v/>
      </s:c>
      <s:c r="CY50" s="30" t="str">
        <s:f>IF(C50="Налич",CV50,"")</s:f>
        <s:v/>
      </s:c>
    </s:row>
    <s:row r="51" ht="21.75">
      <s:c r="A51" s="37"/>
      <s:c r="B51" s="38"/>
      <s:c r="C51" s="39"/>
      <s:c r="D51" s="55"/>
      <s:c r="E51" s="56"/>
      <s:c r="F51" s="75"/>
      <s:c r="G51" s="81"/>
      <s:c r="H51" s="40"/>
      <s:c r="I51" s="82"/>
      <s:c r="J51" s="77"/>
      <s:c r="K51" s="40"/>
      <s:c r="L51" s="41"/>
      <s:c r="M51" s="81"/>
      <s:c r="N51" s="40"/>
      <s:c r="O51" s="82"/>
      <s:c r="P51" s="77"/>
      <s:c r="Q51" s="40"/>
      <s:c r="R51" s="41"/>
      <s:c r="S51" s="81"/>
      <s:c r="T51" s="40"/>
      <s:c r="U51" s="82"/>
      <s:c r="V51" s="77"/>
      <s:c r="W51" s="40"/>
      <s:c r="X51" s="41"/>
      <s:c r="Y51" s="81"/>
      <s:c r="Z51" s="40"/>
      <s:c r="AA51" s="82"/>
      <s:c r="AB51" s="77"/>
      <s:c r="AC51" s="40"/>
      <s:c r="AD51" s="41"/>
      <s:c r="AE51" s="81"/>
      <s:c r="AF51" s="40"/>
      <s:c r="AG51" s="82"/>
      <s:c r="AH51" s="77"/>
      <s:c r="AI51" s="40"/>
      <s:c r="AJ51" s="41"/>
      <s:c r="AK51" s="81"/>
      <s:c r="AL51" s="40"/>
      <s:c r="AM51" s="82"/>
      <s:c r="AN51" s="77"/>
      <s:c r="AO51" s="40"/>
      <s:c r="AP51" s="41"/>
      <s:c r="AQ51" s="81"/>
      <s:c r="AR51" s="40"/>
      <s:c r="AS51" s="82"/>
      <s:c r="AT51" s="77"/>
      <s:c r="AU51" s="40"/>
      <s:c r="AV51" s="41"/>
      <s:c r="AW51" s="81"/>
      <s:c r="AX51" s="40"/>
      <s:c r="AY51" s="82"/>
      <s:c r="AZ51" s="77"/>
      <s:c r="BA51" s="40"/>
      <s:c r="BB51" s="41"/>
      <s:c r="BC51" s="81"/>
      <s:c r="BD51" s="40"/>
      <s:c r="BE51" s="82"/>
      <s:c r="BF51" s="77"/>
      <s:c r="BG51" s="40"/>
      <s:c r="BH51" s="41"/>
      <s:c r="BI51" s="81"/>
      <s:c r="BJ51" s="40"/>
      <s:c r="BK51" s="82"/>
      <s:c r="BL51" s="77"/>
      <s:c r="BM51" s="40"/>
      <s:c r="BN51" s="41"/>
      <s:c r="BO51" s="81"/>
      <s:c r="BP51" s="40"/>
      <s:c r="BQ51" s="82"/>
      <s:c r="BR51" s="202"/>
      <s:c r="BS51" s="40"/>
      <s:c r="BT51" s="41"/>
      <s:c r="BU51" s="81"/>
      <s:c r="BV51" s="40"/>
      <s:c r="BW51" s="82"/>
      <s:c r="BX51" s="77"/>
      <s:c r="BY51" s="40"/>
      <s:c r="BZ51" s="41"/>
      <s:c r="CA51" s="81"/>
      <s:c r="CB51" s="40"/>
      <s:c r="CC51" s="82"/>
      <s:c r="CD51" s="77"/>
      <s:c r="CE51" s="40"/>
      <s:c r="CF51" s="41"/>
      <s:c r="CG51" s="81"/>
      <s:c r="CH51" s="40"/>
      <s:c r="CI51" s="82"/>
      <s:c r="CJ51" s="77"/>
      <s:c r="CK51" s="40"/>
      <s:c r="CL51" s="41"/>
      <s:c r="CM51" s="81"/>
      <s:c r="CN51" s="40"/>
      <s:c r="CO51" s="82"/>
      <s:c r="CP51" s="77"/>
      <s:c r="CQ51" s="40"/>
      <s:c r="CR51" s="41"/>
      <s:c r="CS51" s="67">
        <s:f>SUMIFS(D51:CR51,$D$3:$CR$3,"З")</s:f>
        <s:v>0</s:v>
      </s:c>
      <s:c r="CT51" s="68">
        <s:f>SUMIFS(D51:CR51,$D$3:$CR$3,"О")</s:f>
        <s:v>0</s:v>
      </s:c>
      <s:c r="CU51" s="68">
        <s:f>SUMIFS(D51:CR51,$D$3:$CR$3,"У")</s:f>
        <s:v>0</s:v>
      </s:c>
      <s:c r="CV51" s="42">
        <s:f>IF(C51="Да",CS51*$D$62+CT51*$D$63+CU51*$D$64,CS51*$C$62+CT51*$C$63+CU51*$C$64)</s:f>
        <s:v>0</s:v>
      </s:c>
      <s:c r="CW51" s="43" t="str">
        <s:f>IF(C51="Нет",CV51,"")</s:f>
        <s:v/>
      </s:c>
      <s:c r="CX51" s="44" t="str">
        <s:f>IF(C51="Да",CV51,"")</s:f>
        <s:v/>
      </s:c>
      <s:c r="CY51" s="30" t="str">
        <s:f>IF(C51="Налич",CV51,"")</s:f>
        <s:v/>
      </s:c>
    </s:row>
    <s:row r="52" ht="21.75">
      <s:c r="A52" s="45"/>
      <s:c r="B52" s="46"/>
      <s:c r="C52" s="47"/>
      <s:c r="D52" s="7" t="s">
        <s:v>10</s:v>
      </s:c>
      <s:c r="E52" s="8" t="s">
        <s:v>11</s:v>
      </s:c>
      <s:c r="F52" s="94" t="s">
        <s:v>12</s:v>
      </s:c>
      <s:c r="G52" s="97" t="s">
        <s:v>10</s:v>
      </s:c>
      <s:c r="H52" s="8" t="s">
        <s:v>11</s:v>
      </s:c>
      <s:c r="I52" s="98" t="s">
        <s:v>12</s:v>
      </s:c>
      <s:c r="J52" s="7" t="s">
        <s:v>10</s:v>
      </s:c>
      <s:c r="K52" s="8" t="s">
        <s:v>11</s:v>
      </s:c>
      <s:c r="L52" s="94" t="s">
        <s:v>12</s:v>
      </s:c>
      <s:c r="M52" s="97" t="s">
        <s:v>10</s:v>
      </s:c>
      <s:c r="N52" s="8" t="s">
        <s:v>11</s:v>
      </s:c>
      <s:c r="O52" s="98" t="s">
        <s:v>12</s:v>
      </s:c>
      <s:c r="P52" s="7" t="s">
        <s:v>10</s:v>
      </s:c>
      <s:c r="Q52" s="8" t="s">
        <s:v>11</s:v>
      </s:c>
      <s:c r="R52" s="94" t="s">
        <s:v>12</s:v>
      </s:c>
      <s:c r="S52" s="97" t="s">
        <s:v>10</s:v>
      </s:c>
      <s:c r="T52" s="8" t="s">
        <s:v>11</s:v>
      </s:c>
      <s:c r="U52" s="98" t="s">
        <s:v>12</s:v>
      </s:c>
      <s:c r="V52" s="7" t="s">
        <s:v>10</s:v>
      </s:c>
      <s:c r="W52" s="8" t="s">
        <s:v>11</s:v>
      </s:c>
      <s:c r="X52" s="94" t="s">
        <s:v>12</s:v>
      </s:c>
      <s:c r="Y52" s="97" t="s">
        <s:v>10</s:v>
      </s:c>
      <s:c r="Z52" s="8" t="s">
        <s:v>11</s:v>
      </s:c>
      <s:c r="AA52" s="98" t="s">
        <s:v>12</s:v>
      </s:c>
      <s:c r="AB52" s="7" t="s">
        <s:v>10</s:v>
      </s:c>
      <s:c r="AC52" s="8" t="s">
        <s:v>11</s:v>
      </s:c>
      <s:c r="AD52" s="94" t="s">
        <s:v>12</s:v>
      </s:c>
      <s:c r="AE52" s="97" t="s">
        <s:v>10</s:v>
      </s:c>
      <s:c r="AF52" s="8" t="s">
        <s:v>11</s:v>
      </s:c>
      <s:c r="AG52" s="98" t="s">
        <s:v>12</s:v>
      </s:c>
      <s:c r="AH52" s="7" t="s">
        <s:v>10</s:v>
      </s:c>
      <s:c r="AI52" s="8" t="s">
        <s:v>11</s:v>
      </s:c>
      <s:c r="AJ52" s="94" t="s">
        <s:v>12</s:v>
      </s:c>
      <s:c r="AK52" s="97" t="s">
        <s:v>10</s:v>
      </s:c>
      <s:c r="AL52" s="8" t="s">
        <s:v>11</s:v>
      </s:c>
      <s:c r="AM52" s="98" t="s">
        <s:v>12</s:v>
      </s:c>
      <s:c r="AN52" s="7" t="s">
        <s:v>10</s:v>
      </s:c>
      <s:c r="AO52" s="8" t="s">
        <s:v>11</s:v>
      </s:c>
      <s:c r="AP52" s="94" t="s">
        <s:v>12</s:v>
      </s:c>
      <s:c r="AQ52" s="97" t="s">
        <s:v>10</s:v>
      </s:c>
      <s:c r="AR52" s="8" t="s">
        <s:v>11</s:v>
      </s:c>
      <s:c r="AS52" s="98" t="s">
        <s:v>12</s:v>
      </s:c>
      <s:c r="AT52" s="7" t="s">
        <s:v>10</s:v>
      </s:c>
      <s:c r="AU52" s="8" t="s">
        <s:v>11</s:v>
      </s:c>
      <s:c r="AV52" s="94" t="s">
        <s:v>12</s:v>
      </s:c>
      <s:c r="AW52" s="97" t="s">
        <s:v>10</s:v>
      </s:c>
      <s:c r="AX52" s="8" t="s">
        <s:v>11</s:v>
      </s:c>
      <s:c r="AY52" s="98" t="s">
        <s:v>12</s:v>
      </s:c>
      <s:c r="AZ52" s="7" t="s">
        <s:v>10</s:v>
      </s:c>
      <s:c r="BA52" s="8" t="s">
        <s:v>11</s:v>
      </s:c>
      <s:c r="BB52" s="94" t="s">
        <s:v>12</s:v>
      </s:c>
      <s:c r="BC52" s="97" t="s">
        <s:v>10</s:v>
      </s:c>
      <s:c r="BD52" s="8" t="s">
        <s:v>11</s:v>
      </s:c>
      <s:c r="BE52" s="98" t="s">
        <s:v>12</s:v>
      </s:c>
      <s:c r="BF52" s="7" t="s">
        <s:v>10</s:v>
      </s:c>
      <s:c r="BG52" s="8" t="s">
        <s:v>11</s:v>
      </s:c>
      <s:c r="BH52" s="94" t="s">
        <s:v>12</s:v>
      </s:c>
      <s:c r="BI52" s="97" t="s">
        <s:v>10</s:v>
      </s:c>
      <s:c r="BJ52" s="8" t="s">
        <s:v>11</s:v>
      </s:c>
      <s:c r="BK52" s="98" t="s">
        <s:v>12</s:v>
      </s:c>
      <s:c r="BL52" s="7" t="s">
        <s:v>10</s:v>
      </s:c>
      <s:c r="BM52" s="8" t="s">
        <s:v>11</s:v>
      </s:c>
      <s:c r="BN52" s="94" t="s">
        <s:v>12</s:v>
      </s:c>
      <s:c r="BO52" s="97" t="s">
        <s:v>10</s:v>
      </s:c>
      <s:c r="BP52" s="8" t="s">
        <s:v>11</s:v>
      </s:c>
      <s:c r="BQ52" s="98" t="s">
        <s:v>12</s:v>
      </s:c>
      <s:c r="BR52" s="7" t="s">
        <s:v>10</s:v>
      </s:c>
      <s:c r="BS52" s="8" t="s">
        <s:v>11</s:v>
      </s:c>
      <s:c r="BT52" s="94" t="s">
        <s:v>12</s:v>
      </s:c>
      <s:c r="BU52" s="97" t="s">
        <s:v>10</s:v>
      </s:c>
      <s:c r="BV52" s="8" t="s">
        <s:v>11</s:v>
      </s:c>
      <s:c r="BW52" s="98" t="s">
        <s:v>12</s:v>
      </s:c>
      <s:c r="BX52" s="7" t="s">
        <s:v>10</s:v>
      </s:c>
      <s:c r="BY52" s="8" t="s">
        <s:v>11</s:v>
      </s:c>
      <s:c r="BZ52" s="94" t="s">
        <s:v>12</s:v>
      </s:c>
      <s:c r="CA52" s="97" t="s">
        <s:v>10</s:v>
      </s:c>
      <s:c r="CB52" s="8" t="s">
        <s:v>11</s:v>
      </s:c>
      <s:c r="CC52" s="98" t="s">
        <s:v>12</s:v>
      </s:c>
      <s:c r="CD52" s="7" t="s">
        <s:v>10</s:v>
      </s:c>
      <s:c r="CE52" s="8" t="s">
        <s:v>11</s:v>
      </s:c>
      <s:c r="CF52" s="94" t="s">
        <s:v>12</s:v>
      </s:c>
      <s:c r="CG52" s="97" t="s">
        <s:v>10</s:v>
      </s:c>
      <s:c r="CH52" s="8" t="s">
        <s:v>11</s:v>
      </s:c>
      <s:c r="CI52" s="98" t="s">
        <s:v>12</s:v>
      </s:c>
      <s:c r="CJ52" s="7" t="s">
        <s:v>10</s:v>
      </s:c>
      <s:c r="CK52" s="8" t="s">
        <s:v>11</s:v>
      </s:c>
      <s:c r="CL52" s="94" t="s">
        <s:v>12</s:v>
      </s:c>
      <s:c r="CM52" s="97" t="s">
        <s:v>10</s:v>
      </s:c>
      <s:c r="CN52" s="8" t="s">
        <s:v>11</s:v>
      </s:c>
      <s:c r="CO52" s="98" t="s">
        <s:v>12</s:v>
      </s:c>
      <s:c r="CP52" s="7" t="s">
        <s:v>10</s:v>
      </s:c>
      <s:c r="CQ52" s="8" t="s">
        <s:v>11</s:v>
      </s:c>
      <s:c r="CR52" s="94" t="s">
        <s:v>12</s:v>
      </s:c>
      <s:c r="CS52" s="92" t="s">
        <s:v>10</s:v>
      </s:c>
      <s:c r="CT52" s="10" t="s">
        <s:v>11</s:v>
      </s:c>
      <s:c r="CU52" s="69" t="s">
        <s:v>12</s:v>
      </s:c>
      <s:c r="CV52" s="173" t="s">
        <s:v>30</s:v>
      </s:c>
      <s:c r="CW52" s="174"/>
      <s:c r="CX52" s="174"/>
      <s:c r="CY52" s="175"/>
    </s:row>
    <s:row r="53" ht="21.75">
      <s:c r="A53" s="45"/>
      <s:c r="B53" s="48" t="s">
        <s:v>13</s:v>
      </s:c>
      <s:c r="C53" s="89"/>
      <s:c r="D53" s="207">
        <s:f validation_="true">SUM(D4:D51)</s:f>
        <s:v>41</s:v>
      </s:c>
      <s:c r="E53" s="207">
        <s:f validation_="true">SUM(E4:E51)</s:f>
        <s:v>0</s:v>
      </s:c>
      <s:c r="F53" s="207">
        <s:f validation_="true">SUM(F4:F51)</s:f>
        <s:v>0</s:v>
      </s:c>
      <s:c r="G53" s="207">
        <s:f validation_="true">SUM(G4:G51)</s:f>
        <s:v>0</s:v>
      </s:c>
      <s:c r="H53" s="207">
        <s:f validation_="true">SUM(H4:H51)</s:f>
        <s:v>0</s:v>
      </s:c>
      <s:c r="I53" s="207">
        <s:f validation_="true">SUM(I4:I51)</s:f>
        <s:v>0</s:v>
      </s:c>
      <s:c r="J53" s="207">
        <s:f validation_="true">SUM(J4:J51)</s:f>
        <s:v>0</s:v>
      </s:c>
      <s:c r="K53" s="207">
        <s:f validation_="true">SUM(K4:K51)</s:f>
        <s:v>0</s:v>
      </s:c>
      <s:c r="L53" s="207">
        <s:f validation_="true">SUM(L4:L51)</s:f>
        <s:v>0</s:v>
      </s:c>
      <s:c r="M53" s="207">
        <s:f validation_="true">SUM(M4:M51)</s:f>
        <s:v>0</s:v>
      </s:c>
      <s:c r="N53" s="207">
        <s:f validation_="true">SUM(N4:N51)</s:f>
        <s:v>0</s:v>
      </s:c>
      <s:c r="O53" s="207">
        <s:f validation_="true">SUM(O4:O51)</s:f>
        <s:v>0</s:v>
      </s:c>
      <s:c r="P53" s="207">
        <s:f validation_="true">SUM(P4:P51)</s:f>
        <s:v>0</s:v>
      </s:c>
      <s:c r="Q53" s="207">
        <s:f validation_="true">SUM(Q4:Q51)</s:f>
        <s:v>0</s:v>
      </s:c>
      <s:c r="R53" s="207">
        <s:f validation_="true">SUM(R4:R51)</s:f>
        <s:v>0</s:v>
      </s:c>
      <s:c r="S53" s="207">
        <s:f validation_="true">SUM(S4:S51)</s:f>
        <s:v>0</s:v>
      </s:c>
      <s:c r="T53" s="207">
        <s:f validation_="true">SUM(T4:T51)</s:f>
        <s:v>0</s:v>
      </s:c>
      <s:c r="U53" s="207">
        <s:f validation_="true">SUM(U4:U51)</s:f>
        <s:v>0</s:v>
      </s:c>
      <s:c r="V53" s="207">
        <s:f validation_="true">SUM(V4:V51)</s:f>
        <s:v>0</s:v>
      </s:c>
      <s:c r="W53" s="207">
        <s:f validation_="true">SUM(W4:W51)</s:f>
        <s:v>0</s:v>
      </s:c>
      <s:c r="X53" s="207">
        <s:f validation_="true">SUM(X4:X51)</s:f>
        <s:v>0</s:v>
      </s:c>
      <s:c r="Y53" s="207">
        <s:f validation_="true">SUM(Y4:Y51)</s:f>
        <s:v>0</s:v>
      </s:c>
      <s:c r="Z53" s="207">
        <s:f validation_="true">SUM(Z4:Z51)</s:f>
        <s:v>0</s:v>
      </s:c>
      <s:c r="AA53" s="207">
        <s:f validation_="true">SUM(AA4:AA51)</s:f>
        <s:v>0</s:v>
      </s:c>
      <s:c r="AB53" s="207">
        <s:f validation_="true">SUM(AB4:AB51)</s:f>
        <s:v>0</s:v>
      </s:c>
      <s:c r="AC53" s="207">
        <s:f validation_="true">SUM(AC4:AC51)</s:f>
        <s:v>0</s:v>
      </s:c>
      <s:c r="AD53" s="207">
        <s:f validation_="true">SUM(AD4:AD51)</s:f>
        <s:v>0</s:v>
      </s:c>
      <s:c r="AE53" s="207">
        <s:f validation_="true">SUM(AE4:AE51)</s:f>
        <s:v>1</s:v>
      </s:c>
      <s:c r="AF53" s="207">
        <s:f validation_="true">SUM(AF4:AF51)</s:f>
        <s:v>0</s:v>
      </s:c>
      <s:c r="AG53" s="207">
        <s:f validation_="true">SUM(AG4:AG51)</s:f>
        <s:v>1</s:v>
      </s:c>
      <s:c r="AH53" s="207">
        <s:f validation_="true">SUM(AH4:AH51)</s:f>
        <s:v>2</s:v>
      </s:c>
      <s:c r="AI53" s="207">
        <s:f validation_="true">SUM(AI4:AI51)</s:f>
        <s:v>0</s:v>
      </s:c>
      <s:c r="AJ53" s="207">
        <s:f validation_="true">SUM(AJ4:AJ51)</s:f>
        <s:v>0</s:v>
      </s:c>
      <s:c r="AK53" s="207">
        <s:f validation_="true">SUM(AK4:AK51)</s:f>
        <s:v>4</s:v>
      </s:c>
      <s:c r="AL53" s="207">
        <s:f validation_="true">SUM(AL4:AL51)</s:f>
        <s:v>0</s:v>
      </s:c>
      <s:c r="AM53" s="207">
        <s:f validation_="true">SUM(AM4:AM51)</s:f>
        <s:v>4</s:v>
      </s:c>
      <s:c r="AN53" s="207">
        <s:f validation_="true">SUM(AN4:AN51)</s:f>
        <s:v>5</s:v>
      </s:c>
      <s:c r="AO53" s="207">
        <s:f validation_="true">SUM(AO4:AO51)</s:f>
        <s:v>20</s:v>
      </s:c>
      <s:c r="AP53" s="207">
        <s:f validation_="true">SUM(AP4:AP51)</s:f>
        <s:v>20</s:v>
      </s:c>
      <s:c r="AQ53" s="207">
        <s:f validation_="true">SUM(AQ4:AQ51)</s:f>
        <s:v>0</s:v>
      </s:c>
      <s:c r="AR53" s="207">
        <s:f validation_="true">SUM(AR4:AR51)</s:f>
        <s:v>20</s:v>
      </s:c>
      <s:c r="AS53" s="207">
        <s:f validation_="true">SUM(AS4:AS51)</s:f>
        <s:v>20</s:v>
      </s:c>
      <s:c r="AT53" s="207">
        <s:f validation_="true">SUM(AT4:AT51)</s:f>
        <s:v>26</s:v>
      </s:c>
      <s:c r="AU53" s="207">
        <s:f validation_="true">SUM(AU4:AU51)</s:f>
        <s:v>20</s:v>
      </s:c>
      <s:c r="AV53" s="207">
        <s:f validation_="true">SUM(AV4:AV51)</s:f>
        <s:v>20</s:v>
      </s:c>
      <s:c r="AW53" s="207">
        <s:f validation_="true">SUM(AW4:AW51)</s:f>
        <s:v>0</s:v>
      </s:c>
      <s:c r="AX53" s="207">
        <s:f validation_="true">SUM(AX4:AX51)</s:f>
        <s:v>1</s:v>
      </s:c>
      <s:c r="AY53" s="207">
        <s:f validation_="true">SUM(AY4:AY51)</s:f>
        <s:v>0</s:v>
      </s:c>
      <s:c r="AZ53" s="207">
        <s:f validation_="true">SUM(AZ4:AZ51)</s:f>
        <s:v>0</s:v>
      </s:c>
      <s:c r="BA53" s="207">
        <s:f validation_="true">SUM(BA4:BA51)</s:f>
        <s:v>0</s:v>
      </s:c>
      <s:c r="BB53" s="207">
        <s:f validation_="true">SUM(BB4:BB51)</s:f>
        <s:v>3</s:v>
      </s:c>
      <s:c r="BC53" s="207">
        <s:f validation_="true">SUM(BC4:BC51)</s:f>
        <s:v>5</s:v>
      </s:c>
      <s:c r="BD53" s="207">
        <s:f validation_="true">SUM(BD4:BD51)</s:f>
        <s:v>0</s:v>
      </s:c>
      <s:c r="BE53" s="207">
        <s:f validation_="true">SUM(BE4:BE51)</s:f>
        <s:v>4</s:v>
      </s:c>
      <s:c r="BF53" s="207">
        <s:f validation_="true">SUM(BF4:BF51)</s:f>
        <s:v>7</s:v>
      </s:c>
      <s:c r="BG53" s="207">
        <s:f validation_="true">SUM(BG4:BG51)</s:f>
        <s:v>0</s:v>
      </s:c>
      <s:c r="BH53" s="207">
        <s:f validation_="true">SUM(BH4:BH51)</s:f>
        <s:v>3</s:v>
      </s:c>
      <s:c r="BI53" s="207">
        <s:f validation_="true">SUM(BI4:BI51)</s:f>
        <s:v>7</s:v>
      </s:c>
      <s:c r="BJ53" s="207">
        <s:f validation_="true">SUM(BJ4:BJ51)</s:f>
        <s:v>0</s:v>
      </s:c>
      <s:c r="BK53" s="207">
        <s:f validation_="true">SUM(BK4:BK51)</s:f>
        <s:v>0</s:v>
      </s:c>
      <s:c r="BL53" s="207">
        <s:f validation_="true">SUM(BL4:BL51)</s:f>
        <s:v>2</s:v>
      </s:c>
      <s:c r="BM53" s="207">
        <s:f validation_="true">SUM(BM4:BM51)</s:f>
        <s:v>1</s:v>
      </s:c>
      <s:c r="BN53" s="207">
        <s:f validation_="true">SUM(BN4:BN51)</s:f>
        <s:v>0</s:v>
      </s:c>
      <s:c r="BO53" s="207">
        <s:f validation_="true">SUM(BO4:BO51)</s:f>
        <s:v>0</s:v>
      </s:c>
      <s:c r="BP53" s="207">
        <s:f validation_="true">SUM(BP4:BP51)</s:f>
        <s:v>0</s:v>
      </s:c>
      <s:c r="BQ53" s="207">
        <s:f validation_="true">SUM(BQ4:BQ51)</s:f>
        <s:v>3</s:v>
      </s:c>
      <s:c r="BR53" s="207">
        <s:f validation_="true">SUM(BR4:BR51)</s:f>
        <s:v>7</s:v>
      </s:c>
      <s:c r="BS53" s="207">
        <s:f validation_="true">SUM(BS4:BS51)</s:f>
        <s:v>0</s:v>
      </s:c>
      <s:c r="BT53" s="207">
        <s:f validation_="true">SUM(BT4:BT51)</s:f>
        <s:v>5</s:v>
      </s:c>
      <s:c r="BU53" s="207">
        <s:f validation_="true">SUM(BU4:BU51)</s:f>
        <s:v>6</s:v>
      </s:c>
      <s:c r="BV53" s="207">
        <s:f validation_="true">SUM(BV4:BV51)</s:f>
        <s:v>0</s:v>
      </s:c>
      <s:c r="BW53" s="207">
        <s:f validation_="true">SUM(BW4:BW51)</s:f>
        <s:v>5</s:v>
      </s:c>
      <s:c r="BX53" s="207">
        <s:f validation_="true">SUM(BX4:BX51)</s:f>
        <s:v>8</s:v>
      </s:c>
      <s:c r="BY53" s="207">
        <s:f validation_="true">SUM(BY4:BY51)</s:f>
        <s:v>0</s:v>
      </s:c>
      <s:c r="BZ53" s="207">
        <s:f validation_="true">SUM(BZ4:BZ51)</s:f>
        <s:v>18</s:v>
      </s:c>
      <s:c r="CA53" s="207">
        <s:f validation_="true">SUM(CA4:CA51)</s:f>
        <s:v>32</s:v>
      </s:c>
      <s:c r="CB53" s="207">
        <s:f validation_="true">SUM(CB4:CB51)</s:f>
        <s:v>14</s:v>
      </s:c>
      <s:c r="CC53" s="207">
        <s:f validation_="true">SUM(CC4:CC51)</s:f>
        <s:v>32</s:v>
      </s:c>
      <s:c r="CD53" s="207">
        <s:f validation_="true">SUM(CD4:CD51)</s:f>
        <s:v>32</s:v>
      </s:c>
      <s:c r="CE53" s="207">
        <s:f validation_="true">SUM(CE4:CE51)</s:f>
        <s:v>14</s:v>
      </s:c>
      <s:c r="CF53" s="207">
        <s:f validation_="true">SUM(CF4:CF51)</s:f>
        <s:v>29</s:v>
      </s:c>
      <s:c r="CG53" s="207">
        <s:f validation_="true">SUM(CG4:CG51)</s:f>
        <s:v>29</s:v>
      </s:c>
      <s:c r="CH53" s="207">
        <s:f validation_="true">SUM(CH4:CH51)</s:f>
        <s:v>14</s:v>
      </s:c>
      <s:c r="CI53" s="207">
        <s:f validation_="true">SUM(CI4:CI51)</s:f>
        <s:v>29</s:v>
      </s:c>
      <s:c r="CJ53" s="207">
        <s:f validation_="true">SUM(CJ4:CJ51)</s:f>
        <s:v>29</s:v>
      </s:c>
      <s:c r="CK53" s="207">
        <s:f validation_="true">SUM(CK4:CK51)</s:f>
        <s:v>14</s:v>
      </s:c>
      <s:c r="CL53" s="207">
        <s:f validation_="true">SUM(CL4:CL51)</s:f>
        <s:v>19</s:v>
      </s:c>
      <s:c r="CM53" s="207">
        <s:f validation_="true">SUM(CM4:CM51)</s:f>
        <s:v>19</s:v>
      </s:c>
      <s:c r="CN53" s="207">
        <s:f validation_="true">SUM(CN4:CN51)</s:f>
        <s:v>0</s:v>
      </s:c>
      <s:c r="CO53" s="207">
        <s:f validation_="true">SUM(CO4:CO51)</s:f>
        <s:v>5</s:v>
      </s:c>
      <s:c r="CP53" s="207">
        <s:f validation_="true">SUM(CP4:CP51)</s:f>
        <s:v>5</s:v>
      </s:c>
      <s:c r="CQ53" s="207">
        <s:f validation_="true">SUM(CQ4:CQ51)</s:f>
        <s:v>0</s:v>
      </s:c>
      <s:c r="CR53" s="207">
        <s:f validation_="true">SUM(CR4:CR51)</s:f>
        <s:v>5</s:v>
      </s:c>
      <s:c r="CS53" s="93">
        <s:f>SUM(CS4:CS35)</s:f>
        <s:v>245</s:v>
      </s:c>
      <s:c r="CT53" s="70">
        <s:f>SUM(CT4:CT35)</s:f>
        <s:v>118</s:v>
      </s:c>
      <s:c r="CU53" s="71">
        <s:f>SUM(CU4:CU35)</s:f>
        <s:v>207</s:v>
      </s:c>
      <s:c r="CV53" s="124">
        <s:f>SUM(CW53:CY53)</s:f>
        <s:v>533685</s:v>
      </s:c>
      <s:c r="CW53" s="110">
        <s:f validation_="true">SUM(CW4:CW51)</s:f>
        <s:v>376400</s:v>
      </s:c>
      <s:c r="CX53" s="110">
        <s:f validation_="true">SUM(CX4:CX51)</s:f>
        <s:v>60085</s:v>
      </s:c>
      <s:c r="CY53" s="110">
        <s:f validation_="true">SUM(CY4:CY51)</s:f>
        <s:v>97200</s:v>
      </s:c>
      <s:c r="CZ53">
        <s:v>-250</s:v>
      </s:c>
    </s:row>
    <s:row r="54" ht="60">
      <s:c r="B54" s="73" t="s">
        <s:v>31</s:v>
      </s:c>
      <s:c r="D54" s="208">
        <s:f validation_="true">SUMIFS(D4:D51,$C$4:$C$51,"Да")</s:f>
        <s:v>0</s:v>
      </s:c>
      <s:c r="E54" s="208">
        <s:f validation_="true">SUMIFS(E4:E51,$C$4:$C$51,"Да")</s:f>
        <s:v>0</s:v>
      </s:c>
      <s:c r="F54" s="208">
        <s:f validation_="true">SUMIFS(F4:F51,$C$4:$C$51,"Да")</s:f>
        <s:v>0</s:v>
      </s:c>
      <s:c r="G54" s="208">
        <s:f validation_="true">SUMIFS(G4:G51,$C$4:$C$51,"Да")</s:f>
        <s:v>0</s:v>
      </s:c>
      <s:c r="H54" s="208">
        <s:f validation_="true">SUMIFS(H4:H51,$C$4:$C$51,"Да")</s:f>
        <s:v>0</s:v>
      </s:c>
      <s:c r="I54" s="208">
        <s:f validation_="true">SUMIFS(I4:I51,$C$4:$C$51,"Да")</s:f>
        <s:v>0</s:v>
      </s:c>
      <s:c r="J54" s="208">
        <s:f validation_="true">SUMIFS(J4:J51,$C$4:$C$51,"Да")</s:f>
        <s:v>0</s:v>
      </s:c>
      <s:c r="K54" s="208">
        <s:f validation_="true">SUMIFS(K4:K51,$C$4:$C$51,"Да")</s:f>
        <s:v>0</s:v>
      </s:c>
      <s:c r="L54" s="208">
        <s:f validation_="true">SUMIFS(L4:L51,$C$4:$C$51,"Да")</s:f>
        <s:v>0</s:v>
      </s:c>
      <s:c r="M54" s="208">
        <s:f validation_="true">SUMIFS(M4:M51,$C$4:$C$51,"Да")</s:f>
        <s:v>0</s:v>
      </s:c>
      <s:c r="N54" s="208">
        <s:f validation_="true">SUMIFS(N4:N51,$C$4:$C$51,"Да")</s:f>
        <s:v>0</s:v>
      </s:c>
      <s:c r="O54" s="208">
        <s:f validation_="true">SUMIFS(O4:O51,$C$4:$C$51,"Да")</s:f>
        <s:v>0</s:v>
      </s:c>
      <s:c r="P54" s="208">
        <s:f validation_="true">SUMIFS(P4:P51,$C$4:$C$51,"Да")</s:f>
        <s:v>0</s:v>
      </s:c>
      <s:c r="Q54" s="208">
        <s:f validation_="true">SUMIFS(Q4:Q51,$C$4:$C$51,"Да")</s:f>
        <s:v>0</s:v>
      </s:c>
      <s:c r="R54" s="208">
        <s:f validation_="true">SUMIFS(R4:R51,$C$4:$C$51,"Да")</s:f>
        <s:v>0</s:v>
      </s:c>
      <s:c r="S54" s="208">
        <s:f validation_="true">SUMIFS(S4:S51,$C$4:$C$51,"Да")</s:f>
        <s:v>0</s:v>
      </s:c>
      <s:c r="T54" s="208">
        <s:f validation_="true">SUMIFS(T4:T51,$C$4:$C$51,"Да")</s:f>
        <s:v>0</s:v>
      </s:c>
      <s:c r="U54" s="208">
        <s:f validation_="true">SUMIFS(U4:U51,$C$4:$C$51,"Да")</s:f>
        <s:v>0</s:v>
      </s:c>
      <s:c r="V54" s="208">
        <s:f validation_="true">SUMIFS(V4:V51,$C$4:$C$51,"Да")</s:f>
        <s:v>0</s:v>
      </s:c>
      <s:c r="W54" s="208">
        <s:f validation_="true">SUMIFS(W4:W51,$C$4:$C$51,"Да")</s:f>
        <s:v>0</s:v>
      </s:c>
      <s:c r="X54" s="208">
        <s:f validation_="true">SUMIFS(X4:X51,$C$4:$C$51,"Да")</s:f>
        <s:v>0</s:v>
      </s:c>
      <s:c r="Y54" s="208">
        <s:f validation_="true">SUMIFS(Y4:Y51,$C$4:$C$51,"Да")</s:f>
        <s:v>0</s:v>
      </s:c>
      <s:c r="Z54" s="208">
        <s:f validation_="true">SUMIFS(Z4:Z51,$C$4:$C$51,"Да")</s:f>
        <s:v>0</s:v>
      </s:c>
      <s:c r="AA54" s="208">
        <s:f validation_="true">SUMIFS(AA4:AA51,$C$4:$C$51,"Да")</s:f>
        <s:v>0</s:v>
      </s:c>
      <s:c r="AB54" s="208">
        <s:f validation_="true">SUMIFS(AB4:AB51,$C$4:$C$51,"Да")</s:f>
        <s:v>0</s:v>
      </s:c>
      <s:c r="AC54" s="208">
        <s:f validation_="true">SUMIFS(AC4:AC51,$C$4:$C$51,"Да")</s:f>
        <s:v>0</s:v>
      </s:c>
      <s:c r="AD54" s="208">
        <s:f validation_="true">SUMIFS(AD4:AD51,$C$4:$C$51,"Да")</s:f>
        <s:v>0</s:v>
      </s:c>
      <s:c r="AE54" s="208">
        <s:f validation_="true">SUMIFS(AE4:AE51,$C$4:$C$51,"Да")</s:f>
        <s:v>1</s:v>
      </s:c>
      <s:c r="AF54" s="208">
        <s:f validation_="true">SUMIFS(AF4:AF51,$C$4:$C$51,"Да")</s:f>
        <s:v>0</s:v>
      </s:c>
      <s:c r="AG54" s="208">
        <s:f validation_="true">SUMIFS(AG4:AG51,$C$4:$C$51,"Да")</s:f>
        <s:v>0</s:v>
      </s:c>
      <s:c r="AH54" s="208">
        <s:f validation_="true">SUMIFS(AH4:AH51,$C$4:$C$51,"Да")</s:f>
        <s:v>1</s:v>
      </s:c>
      <s:c r="AI54" s="208">
        <s:f validation_="true">SUMIFS(AI4:AI51,$C$4:$C$51,"Да")</s:f>
        <s:v>0</s:v>
      </s:c>
      <s:c r="AJ54" s="208">
        <s:f validation_="true">SUMIFS(AJ4:AJ51,$C$4:$C$51,"Да")</s:f>
        <s:v>0</s:v>
      </s:c>
      <s:c r="AK54" s="208">
        <s:f validation_="true">SUMIFS(AK4:AK51,$C$4:$C$51,"Да")</s:f>
        <s:v>1</s:v>
      </s:c>
      <s:c r="AL54" s="208">
        <s:f validation_="true">SUMIFS(AL4:AL51,$C$4:$C$51,"Да")</s:f>
        <s:v>0</s:v>
      </s:c>
      <s:c r="AM54" s="208">
        <s:f validation_="true">SUMIFS(AM4:AM51,$C$4:$C$51,"Да")</s:f>
        <s:v>2</s:v>
      </s:c>
      <s:c r="AN54" s="208">
        <s:f validation_="true">SUMIFS(AN4:AN51,$C$4:$C$51,"Да")</s:f>
        <s:v>4</s:v>
      </s:c>
      <s:c r="AO54" s="208">
        <s:f validation_="true">SUMIFS(AO4:AO51,$C$4:$C$51,"Да")</s:f>
        <s:v>0</s:v>
      </s:c>
      <s:c r="AP54" s="208">
        <s:f validation_="true">SUMIFS(AP4:AP51,$C$4:$C$51,"Да")</s:f>
        <s:v>0</s:v>
      </s:c>
      <s:c r="AQ54" s="208">
        <s:f validation_="true">SUMIFS(AQ4:AQ51,$C$4:$C$51,"Да")</s:f>
        <s:v>0</s:v>
      </s:c>
      <s:c r="AR54" s="208">
        <s:f validation_="true">SUMIFS(AR4:AR51,$C$4:$C$51,"Да")</s:f>
        <s:v>0</s:v>
      </s:c>
      <s:c r="AS54" s="208">
        <s:f validation_="true">SUMIFS(AS4:AS51,$C$4:$C$51,"Да")</s:f>
        <s:v>0</s:v>
      </s:c>
      <s:c r="AT54" s="208">
        <s:f validation_="true">SUMIFS(AT4:AT51,$C$4:$C$51,"Да")</s:f>
        <s:v>26</s:v>
      </s:c>
      <s:c r="AU54" s="208">
        <s:f validation_="true">SUMIFS(AU4:AU51,$C$4:$C$51,"Да")</s:f>
        <s:v>0</s:v>
      </s:c>
      <s:c r="AV54" s="208">
        <s:f validation_="true">SUMIFS(AV4:AV51,$C$4:$C$51,"Да")</s:f>
        <s:v>0</s:v>
      </s:c>
      <s:c r="AW54" s="208">
        <s:f validation_="true">SUMIFS(AW4:AW51,$C$4:$C$51,"Да")</s:f>
        <s:v>0</s:v>
      </s:c>
      <s:c r="AX54" s="208">
        <s:f validation_="true">SUMIFS(AX4:AX51,$C$4:$C$51,"Да")</s:f>
        <s:v>0</s:v>
      </s:c>
      <s:c r="AY54" s="208">
        <s:f validation_="true">SUMIFS(AY4:AY51,$C$4:$C$51,"Да")</s:f>
        <s:v>0</s:v>
      </s:c>
      <s:c r="AZ54" s="208">
        <s:f validation_="true">SUMIFS(AZ4:AZ51,$C$4:$C$51,"Да")</s:f>
        <s:v>0</s:v>
      </s:c>
      <s:c r="BA54" s="208">
        <s:f validation_="true">SUMIFS(BA4:BA51,$C$4:$C$51,"Да")</s:f>
        <s:v>0</s:v>
      </s:c>
      <s:c r="BB54" s="208">
        <s:f validation_="true">SUMIFS(BB4:BB51,$C$4:$C$51,"Да")</s:f>
        <s:v>0</s:v>
      </s:c>
      <s:c r="BC54" s="208">
        <s:f validation_="true">SUMIFS(BC4:BC51,$C$4:$C$51,"Да")</s:f>
        <s:v>0</s:v>
      </s:c>
      <s:c r="BD54" s="208">
        <s:f validation_="true">SUMIFS(BD4:BD51,$C$4:$C$51,"Да")</s:f>
        <s:v>0</s:v>
      </s:c>
      <s:c r="BE54" s="208">
        <s:f validation_="true">SUMIFS(BE4:BE51,$C$4:$C$51,"Да")</s:f>
        <s:v>1</s:v>
      </s:c>
      <s:c r="BF54" s="208">
        <s:f validation_="true">SUMIFS(BF4:BF51,$C$4:$C$51,"Да")</s:f>
        <s:v>1</s:v>
      </s:c>
      <s:c r="BG54" s="208">
        <s:f validation_="true">SUMIFS(BG4:BG51,$C$4:$C$51,"Да")</s:f>
        <s:v>0</s:v>
      </s:c>
      <s:c r="BH54" s="208">
        <s:f validation_="true">SUMIFS(BH4:BH51,$C$4:$C$51,"Да")</s:f>
        <s:v>0</s:v>
      </s:c>
      <s:c r="BI54" s="208">
        <s:f validation_="true">SUMIFS(BI4:BI51,$C$4:$C$51,"Да")</s:f>
        <s:v>0</s:v>
      </s:c>
      <s:c r="BJ54" s="208">
        <s:f validation_="true">SUMIFS(BJ4:BJ51,$C$4:$C$51,"Да")</s:f>
        <s:v>0</s:v>
      </s:c>
      <s:c r="BK54" s="208">
        <s:f validation_="true">SUMIFS(BK4:BK51,$C$4:$C$51,"Да")</s:f>
        <s:v>0</s:v>
      </s:c>
      <s:c r="BL54" s="208">
        <s:f validation_="true">SUMIFS(BL4:BL51,$C$4:$C$51,"Да")</s:f>
        <s:v>2</s:v>
      </s:c>
      <s:c r="BM54" s="208">
        <s:f validation_="true">SUMIFS(BM4:BM51,$C$4:$C$51,"Да")</s:f>
        <s:v>1</s:v>
      </s:c>
      <s:c r="BN54" s="208">
        <s:f validation_="true">SUMIFS(BN4:BN51,$C$4:$C$51,"Да")</s:f>
        <s:v>0</s:v>
      </s:c>
      <s:c r="BO54" s="208">
        <s:f validation_="true">SUMIFS(BO4:BO51,$C$4:$C$51,"Да")</s:f>
        <s:v>0</s:v>
      </s:c>
      <s:c r="BP54" s="208">
        <s:f validation_="true">SUMIFS(BP4:BP51,$C$4:$C$51,"Да")</s:f>
        <s:v>0</s:v>
      </s:c>
      <s:c r="BQ54" s="208">
        <s:f validation_="true">SUMIFS(BQ4:BQ51,$C$4:$C$51,"Да")</s:f>
        <s:v>0</s:v>
      </s:c>
      <s:c r="BR54" s="208">
        <s:f validation_="true">SUMIFS(BR4:BR51,$C$4:$C$51,"Да")</s:f>
        <s:v>0</s:v>
      </s:c>
      <s:c r="BS54" s="208">
        <s:f validation_="true">SUMIFS(BS4:BS51,$C$4:$C$51,"Да")</s:f>
        <s:v>0</s:v>
      </s:c>
      <s:c r="BT54" s="208">
        <s:f validation_="true">SUMIFS(BT4:BT51,$C$4:$C$51,"Да")</s:f>
        <s:v>2</s:v>
      </s:c>
      <s:c r="BU54" s="208">
        <s:f validation_="true">SUMIFS(BU4:BU51,$C$4:$C$51,"Да")</s:f>
        <s:v>1</s:v>
      </s:c>
      <s:c r="BV54" s="208">
        <s:f validation_="true">SUMIFS(BV4:BV51,$C$4:$C$51,"Да")</s:f>
        <s:v>0</s:v>
      </s:c>
      <s:c r="BW54" s="208">
        <s:f validation_="true">SUMIFS(BW4:BW51,$C$4:$C$51,"Да")</s:f>
        <s:v>2</s:v>
      </s:c>
      <s:c r="BX54" s="208">
        <s:f validation_="true">SUMIFS(BX4:BX51,$C$4:$C$51,"Да")</s:f>
        <s:v>1</s:v>
      </s:c>
      <s:c r="BY54" s="208">
        <s:f validation_="true">SUMIFS(BY4:BY51,$C$4:$C$51,"Да")</s:f>
        <s:v>0</s:v>
      </s:c>
      <s:c r="BZ54" s="208">
        <s:f validation_="true">SUMIFS(BZ4:BZ51,$C$4:$C$51,"Да")</s:f>
        <s:v>2</s:v>
      </s:c>
      <s:c r="CA54" s="208">
        <s:f validation_="true">SUMIFS(CA4:CA51,$C$4:$C$51,"Да")</s:f>
        <s:v>0</s:v>
      </s:c>
      <s:c r="CB54" s="208">
        <s:f validation_="true">SUMIFS(CB4:CB51,$C$4:$C$51,"Да")</s:f>
        <s:v>0</s:v>
      </s:c>
      <s:c r="CC54" s="208">
        <s:f validation_="true">SUMIFS(CC4:CC51,$C$4:$C$51,"Да")</s:f>
        <s:v>2</s:v>
      </s:c>
      <s:c r="CD54" s="208">
        <s:f validation_="true">SUMIFS(CD4:CD51,$C$4:$C$51,"Да")</s:f>
        <s:v>0</s:v>
      </s:c>
      <s:c r="CE54" s="208">
        <s:f validation_="true">SUMIFS(CE4:CE51,$C$4:$C$51,"Да")</s:f>
        <s:v>0</s:v>
      </s:c>
      <s:c r="CF54" s="208">
        <s:f validation_="true">SUMIFS(CF4:CF51,$C$4:$C$51,"Да")</s:f>
        <s:v>2</s:v>
      </s:c>
      <s:c r="CG54" s="208">
        <s:f validation_="true">SUMIFS(CG4:CG51,$C$4:$C$51,"Да")</s:f>
        <s:v>0</s:v>
      </s:c>
      <s:c r="CH54" s="208">
        <s:f validation_="true">SUMIFS(CH4:CH51,$C$4:$C$51,"Да")</s:f>
        <s:v>0</s:v>
      </s:c>
      <s:c r="CI54" s="208">
        <s:f validation_="true">SUMIFS(CI4:CI51,$C$4:$C$51,"Да")</s:f>
        <s:v>2</s:v>
      </s:c>
      <s:c r="CJ54" s="208">
        <s:f validation_="true">SUMIFS(CJ4:CJ51,$C$4:$C$51,"Да")</s:f>
        <s:v>0</s:v>
      </s:c>
      <s:c r="CK54" s="208">
        <s:f validation_="true">SUMIFS(CK4:CK51,$C$4:$C$51,"Да")</s:f>
        <s:v>0</s:v>
      </s:c>
      <s:c r="CL54" s="208">
        <s:f validation_="true">SUMIFS(CL4:CL51,$C$4:$C$51,"Да")</s:f>
        <s:v>2</s:v>
      </s:c>
      <s:c r="CM54" s="208">
        <s:f validation_="true">SUMIFS(CM4:CM51,$C$4:$C$51,"Да")</s:f>
        <s:v>0</s:v>
      </s:c>
      <s:c r="CN54" s="208">
        <s:f validation_="true">SUMIFS(CN4:CN51,$C$4:$C$51,"Да")</s:f>
        <s:v>0</s:v>
      </s:c>
      <s:c r="CO54" s="208">
        <s:f validation_="true">SUMIFS(CO4:CO51,$C$4:$C$51,"Да")</s:f>
        <s:v>2</s:v>
      </s:c>
      <s:c r="CP54" s="208">
        <s:f validation_="true">SUMIFS(CP4:CP51,$C$4:$C$51,"Да")</s:f>
        <s:v>0</s:v>
      </s:c>
      <s:c r="CQ54" s="208">
        <s:f validation_="true">SUMIFS(CQ4:CQ51,$C$4:$C$51,"Да")</s:f>
        <s:v>0</s:v>
      </s:c>
      <s:c r="CR54" s="208">
        <s:f validation_="true">SUMIFS(CR4:CR51,$C$4:$C$51,"Да")</s:f>
        <s:v>2</s:v>
      </s:c>
      <s:c r="CS54" s="83" t="s">
        <s:v>23</s:v>
      </s:c>
      <s:c r="CT54" s="72" t="s">
        <s:v>24</s:v>
      </s:c>
      <s:c r="CU54" s="72" t="s">
        <s:v>25</s:v>
      </s:c>
      <s:c r="CV54" s="109" t="s">
        <s:v>39</s:v>
      </s:c>
      <s:c r="CW54" s="111" t="s">
        <s:v>40</s:v>
      </s:c>
      <s:c r="CX54" s="111" t="s">
        <s:v>26</s:v>
      </s:c>
      <s:c r="CY54" s="111" t="s">
        <s:v>29</s:v>
      </s:c>
      <s:c r="DB54" s="128">
        <s:f>CW58-CW53</s:f>
        <s:v>0</s:v>
      </s:c>
      <s:c r="DC54" s="128">
        <s:f>CY59-CY53</s:f>
        <s:v>0</s:v>
      </s:c>
    </s:row>
    <s:row r="55" ht="24.75">
      <s:c r="B55" s="73" t="s">
        <s:v>32</s:v>
      </s:c>
      <s:c r="D55" s="208">
        <s:f validation_="true">SUMIFS(D4:D51,$C$4:$C$51,"Нет")</s:f>
        <s:v>28</s:v>
      </s:c>
      <s:c r="E55" s="208">
        <s:f validation_="true">SUMIFS(E4:E51,$C$4:$C$51,"Нет")</s:f>
        <s:v>0</s:v>
      </s:c>
      <s:c r="F55" s="208">
        <s:f validation_="true">SUMIFS(F4:F51,$C$4:$C$51,"Нет")</s:f>
        <s:v>0</s:v>
      </s:c>
      <s:c r="G55" s="208">
        <s:f validation_="true">SUMIFS(G4:G51,$C$4:$C$51,"Нет")</s:f>
        <s:v>0</s:v>
      </s:c>
      <s:c r="H55" s="208">
        <s:f validation_="true">SUMIFS(H4:H51,$C$4:$C$51,"Нет")</s:f>
        <s:v>0</s:v>
      </s:c>
      <s:c r="I55" s="208">
        <s:f validation_="true">SUMIFS(I4:I51,$C$4:$C$51,"Нет")</s:f>
        <s:v>0</s:v>
      </s:c>
      <s:c r="J55" s="208">
        <s:f validation_="true">SUMIFS(J4:J51,$C$4:$C$51,"Нет")</s:f>
        <s:v>0</s:v>
      </s:c>
      <s:c r="K55" s="208">
        <s:f validation_="true">SUMIFS(K4:K51,$C$4:$C$51,"Нет")</s:f>
        <s:v>0</s:v>
      </s:c>
      <s:c r="L55" s="208">
        <s:f validation_="true">SUMIFS(L4:L51,$C$4:$C$51,"Нет")</s:f>
        <s:v>0</s:v>
      </s:c>
      <s:c r="M55" s="208">
        <s:f validation_="true">SUMIFS(M4:M51,$C$4:$C$51,"Нет")</s:f>
        <s:v>0</s:v>
      </s:c>
      <s:c r="N55" s="208">
        <s:f validation_="true">SUMIFS(N4:N51,$C$4:$C$51,"Нет")</s:f>
        <s:v>0</s:v>
      </s:c>
      <s:c r="O55" s="208">
        <s:f validation_="true">SUMIFS(O4:O51,$C$4:$C$51,"Нет")</s:f>
        <s:v>0</s:v>
      </s:c>
      <s:c r="P55" s="208">
        <s:f validation_="true">SUMIFS(P4:P51,$C$4:$C$51,"Нет")</s:f>
        <s:v>0</s:v>
      </s:c>
      <s:c r="Q55" s="208">
        <s:f validation_="true">SUMIFS(Q4:Q51,$C$4:$C$51,"Нет")</s:f>
        <s:v>0</s:v>
      </s:c>
      <s:c r="R55" s="208">
        <s:f validation_="true">SUMIFS(R4:R51,$C$4:$C$51,"Нет")</s:f>
        <s:v>0</s:v>
      </s:c>
      <s:c r="S55" s="208">
        <s:f validation_="true">SUMIFS(S4:S51,$C$4:$C$51,"Нет")</s:f>
        <s:v>0</s:v>
      </s:c>
      <s:c r="T55" s="208">
        <s:f validation_="true">SUMIFS(T4:T51,$C$4:$C$51,"Нет")</s:f>
        <s:v>0</s:v>
      </s:c>
      <s:c r="U55" s="208">
        <s:f validation_="true">SUMIFS(U4:U51,$C$4:$C$51,"Нет")</s:f>
        <s:v>0</s:v>
      </s:c>
      <s:c r="V55" s="208">
        <s:f validation_="true">SUMIFS(V4:V51,$C$4:$C$51,"Нет")</s:f>
        <s:v>0</s:v>
      </s:c>
      <s:c r="W55" s="208">
        <s:f validation_="true">SUMIFS(W4:W51,$C$4:$C$51,"Нет")</s:f>
        <s:v>0</s:v>
      </s:c>
      <s:c r="X55" s="208">
        <s:f validation_="true">SUMIFS(X4:X51,$C$4:$C$51,"Нет")</s:f>
        <s:v>0</s:v>
      </s:c>
      <s:c r="Y55" s="208">
        <s:f validation_="true">SUMIFS(Y4:Y51,$C$4:$C$51,"Нет")</s:f>
        <s:v>0</s:v>
      </s:c>
      <s:c r="Z55" s="208">
        <s:f validation_="true">SUMIFS(Z4:Z51,$C$4:$C$51,"Нет")</s:f>
        <s:v>0</s:v>
      </s:c>
      <s:c r="AA55" s="208">
        <s:f validation_="true">SUMIFS(AA4:AA51,$C$4:$C$51,"Нет")</s:f>
        <s:v>0</s:v>
      </s:c>
      <s:c r="AB55" s="208">
        <s:f validation_="true">SUMIFS(AB4:AB51,$C$4:$C$51,"Нет")</s:f>
        <s:v>0</s:v>
      </s:c>
      <s:c r="AC55" s="208">
        <s:f validation_="true">SUMIFS(AC4:AC51,$C$4:$C$51,"Нет")</s:f>
        <s:v>0</s:v>
      </s:c>
      <s:c r="AD55" s="208">
        <s:f validation_="true">SUMIFS(AD4:AD51,$C$4:$C$51,"Нет")</s:f>
        <s:v>0</s:v>
      </s:c>
      <s:c r="AE55" s="208">
        <s:f validation_="true">SUMIFS(AE4:AE51,$C$4:$C$51,"Нет")</s:f>
        <s:v>0</s:v>
      </s:c>
      <s:c r="AF55" s="208">
        <s:f validation_="true">SUMIFS(AF4:AF51,$C$4:$C$51,"Нет")</s:f>
        <s:v>0</s:v>
      </s:c>
      <s:c r="AG55" s="208">
        <s:f validation_="true">SUMIFS(AG4:AG51,$C$4:$C$51,"Нет")</s:f>
        <s:v>1</s:v>
      </s:c>
      <s:c r="AH55" s="208">
        <s:f validation_="true">SUMIFS(AH4:AH51,$C$4:$C$51,"Нет")</s:f>
        <s:v>1</s:v>
      </s:c>
      <s:c r="AI55" s="208">
        <s:f validation_="true">SUMIFS(AI4:AI51,$C$4:$C$51,"Нет")</s:f>
        <s:v>0</s:v>
      </s:c>
      <s:c r="AJ55" s="208">
        <s:f validation_="true">SUMIFS(AJ4:AJ51,$C$4:$C$51,"Нет")</s:f>
        <s:v>0</s:v>
      </s:c>
      <s:c r="AK55" s="208">
        <s:f validation_="true">SUMIFS(AK4:AK51,$C$4:$C$51,"Нет")</s:f>
        <s:v>3</s:v>
      </s:c>
      <s:c r="AL55" s="208">
        <s:f validation_="true">SUMIFS(AL4:AL51,$C$4:$C$51,"Нет")</s:f>
        <s:v>0</s:v>
      </s:c>
      <s:c r="AM55" s="208">
        <s:f validation_="true">SUMIFS(AM4:AM51,$C$4:$C$51,"Нет")</s:f>
        <s:v>2</s:v>
      </s:c>
      <s:c r="AN55" s="208">
        <s:f validation_="true">SUMIFS(AN4:AN51,$C$4:$C$51,"Нет")</s:f>
        <s:v>1</s:v>
      </s:c>
      <s:c r="AO55" s="208">
        <s:f validation_="true">SUMIFS(AO4:AO51,$C$4:$C$51,"Нет")</s:f>
        <s:v>20</s:v>
      </s:c>
      <s:c r="AP55" s="208">
        <s:f validation_="true">SUMIFS(AP4:AP51,$C$4:$C$51,"Нет")</s:f>
        <s:v>20</s:v>
      </s:c>
      <s:c r="AQ55" s="208">
        <s:f validation_="true">SUMIFS(AQ4:AQ51,$C$4:$C$51,"Нет")</s:f>
        <s:v>0</s:v>
      </s:c>
      <s:c r="AR55" s="208">
        <s:f validation_="true">SUMIFS(AR4:AR51,$C$4:$C$51,"Нет")</s:f>
        <s:v>20</s:v>
      </s:c>
      <s:c r="AS55" s="208">
        <s:f validation_="true">SUMIFS(AS4:AS51,$C$4:$C$51,"Нет")</s:f>
        <s:v>20</s:v>
      </s:c>
      <s:c r="AT55" s="208">
        <s:f validation_="true">SUMIFS(AT4:AT51,$C$4:$C$51,"Нет")</s:f>
        <s:v>0</s:v>
      </s:c>
      <s:c r="AU55" s="208">
        <s:f validation_="true">SUMIFS(AU4:AU51,$C$4:$C$51,"Нет")</s:f>
        <s:v>20</s:v>
      </s:c>
      <s:c r="AV55" s="208">
        <s:f validation_="true">SUMIFS(AV4:AV51,$C$4:$C$51,"Нет")</s:f>
        <s:v>20</s:v>
      </s:c>
      <s:c r="AW55" s="208">
        <s:f validation_="true">SUMIFS(AW4:AW51,$C$4:$C$51,"Нет")</s:f>
        <s:v>0</s:v>
      </s:c>
      <s:c r="AX55" s="208">
        <s:f validation_="true">SUMIFS(AX4:AX51,$C$4:$C$51,"Нет")</s:f>
        <s:v>0</s:v>
      </s:c>
      <s:c r="AY55" s="208">
        <s:f validation_="true">SUMIFS(AY4:AY51,$C$4:$C$51,"Нет")</s:f>
        <s:v>0</s:v>
      </s:c>
      <s:c r="AZ55" s="208">
        <s:f validation_="true">SUMIFS(AZ4:AZ51,$C$4:$C$51,"Нет")</s:f>
        <s:v>0</s:v>
      </s:c>
      <s:c r="BA55" s="208">
        <s:f validation_="true">SUMIFS(BA4:BA51,$C$4:$C$51,"Нет")</s:f>
        <s:v>0</s:v>
      </s:c>
      <s:c r="BB55" s="208">
        <s:f validation_="true">SUMIFS(BB4:BB51,$C$4:$C$51,"Нет")</s:f>
        <s:v>3</s:v>
      </s:c>
      <s:c r="BC55" s="208">
        <s:f validation_="true">SUMIFS(BC4:BC51,$C$4:$C$51,"Нет")</s:f>
        <s:v>5</s:v>
      </s:c>
      <s:c r="BD55" s="208">
        <s:f validation_="true">SUMIFS(BD4:BD51,$C$4:$C$51,"Нет")</s:f>
        <s:v>0</s:v>
      </s:c>
      <s:c r="BE55" s="208">
        <s:f validation_="true">SUMIFS(BE4:BE51,$C$4:$C$51,"Нет")</s:f>
        <s:v>3</s:v>
      </s:c>
      <s:c r="BF55" s="208">
        <s:f validation_="true">SUMIFS(BF4:BF51,$C$4:$C$51,"Нет")</s:f>
        <s:v>6</s:v>
      </s:c>
      <s:c r="BG55" s="208">
        <s:f validation_="true">SUMIFS(BG4:BG51,$C$4:$C$51,"Нет")</s:f>
        <s:v>0</s:v>
      </s:c>
      <s:c r="BH55" s="208">
        <s:f validation_="true">SUMIFS(BH4:BH51,$C$4:$C$51,"Нет")</s:f>
        <s:v>3</s:v>
      </s:c>
      <s:c r="BI55" s="208">
        <s:f validation_="true">SUMIFS(BI4:BI51,$C$4:$C$51,"Нет")</s:f>
        <s:v>7</s:v>
      </s:c>
      <s:c r="BJ55" s="208">
        <s:f validation_="true">SUMIFS(BJ4:BJ51,$C$4:$C$51,"Нет")</s:f>
        <s:v>0</s:v>
      </s:c>
      <s:c r="BK55" s="208">
        <s:f validation_="true">SUMIFS(BK4:BK51,$C$4:$C$51,"Нет")</s:f>
        <s:v>0</s:v>
      </s:c>
      <s:c r="BL55" s="208">
        <s:f validation_="true">SUMIFS(BL4:BL51,$C$4:$C$51,"Нет")</s:f>
        <s:v>0</s:v>
      </s:c>
      <s:c r="BM55" s="208">
        <s:f validation_="true">SUMIFS(BM4:BM51,$C$4:$C$51,"Нет")</s:f>
        <s:v>0</s:v>
      </s:c>
      <s:c r="BN55" s="208">
        <s:f validation_="true">SUMIFS(BN4:BN51,$C$4:$C$51,"Нет")</s:f>
        <s:v>0</s:v>
      </s:c>
      <s:c r="BO55" s="208">
        <s:f validation_="true">SUMIFS(BO4:BO51,$C$4:$C$51,"Нет")</s:f>
        <s:v>0</s:v>
      </s:c>
      <s:c r="BP55" s="208">
        <s:f validation_="true">SUMIFS(BP4:BP51,$C$4:$C$51,"Нет")</s:f>
        <s:v>0</s:v>
      </s:c>
      <s:c r="BQ55" s="208">
        <s:f validation_="true">SUMIFS(BQ4:BQ51,$C$4:$C$51,"Нет")</s:f>
        <s:v>3</s:v>
      </s:c>
      <s:c r="BR55" s="208">
        <s:f validation_="true">SUMIFS(BR4:BR51,$C$4:$C$51,"Нет")</s:f>
        <s:v>7</s:v>
      </s:c>
      <s:c r="BS55" s="208">
        <s:f validation_="true">SUMIFS(BS4:BS51,$C$4:$C$51,"Нет")</s:f>
        <s:v>0</s:v>
      </s:c>
      <s:c r="BT55" s="208">
        <s:f validation_="true">SUMIFS(BT4:BT51,$C$4:$C$51,"Нет")</s:f>
        <s:v>3</s:v>
      </s:c>
      <s:c r="BU55" s="208">
        <s:f validation_="true">SUMIFS(BU4:BU51,$C$4:$C$51,"Нет")</s:f>
        <s:v>5</s:v>
      </s:c>
      <s:c r="BV55" s="208">
        <s:f validation_="true">SUMIFS(BV4:BV51,$C$4:$C$51,"Нет")</s:f>
        <s:v>0</s:v>
      </s:c>
      <s:c r="BW55" s="208">
        <s:f validation_="true">SUMIFS(BW4:BW51,$C$4:$C$51,"Нет")</s:f>
        <s:v>3</s:v>
      </s:c>
      <s:c r="BX55" s="208">
        <s:f validation_="true">SUMIFS(BX4:BX51,$C$4:$C$51,"Нет")</s:f>
        <s:v>7</s:v>
      </s:c>
      <s:c r="BY55" s="208">
        <s:f validation_="true">SUMIFS(BY4:BY51,$C$4:$C$51,"Нет")</s:f>
        <s:v>0</s:v>
      </s:c>
      <s:c r="BZ55" s="208">
        <s:f validation_="true">SUMIFS(BZ4:BZ51,$C$4:$C$51,"Нет")</s:f>
        <s:v>3</s:v>
      </s:c>
      <s:c r="CA55" s="208">
        <s:f validation_="true">SUMIFS(CA4:CA51,$C$4:$C$51,"Нет")</s:f>
        <s:v>19</s:v>
      </s:c>
      <s:c r="CB55" s="208">
        <s:f validation_="true">SUMIFS(CB4:CB51,$C$4:$C$51,"Нет")</s:f>
        <s:v>14</s:v>
      </s:c>
      <s:c r="CC55" s="208">
        <s:f validation_="true">SUMIFS(CC4:CC51,$C$4:$C$51,"Нет")</s:f>
        <s:v>17</s:v>
      </s:c>
      <s:c r="CD55" s="208">
        <s:f validation_="true">SUMIFS(CD4:CD51,$C$4:$C$51,"Нет")</s:f>
        <s:v>19</s:v>
      </s:c>
      <s:c r="CE55" s="208">
        <s:f validation_="true">SUMIFS(CE4:CE51,$C$4:$C$51,"Нет")</s:f>
        <s:v>14</s:v>
      </s:c>
      <s:c r="CF55" s="208">
        <s:f validation_="true">SUMIFS(CF4:CF51,$C$4:$C$51,"Нет")</s:f>
        <s:v>14</s:v>
      </s:c>
      <s:c r="CG55" s="208">
        <s:f validation_="true">SUMIFS(CG4:CG51,$C$4:$C$51,"Нет")</s:f>
        <s:v>16</s:v>
      </s:c>
      <s:c r="CH55" s="208">
        <s:f validation_="true">SUMIFS(CH4:CH51,$C$4:$C$51,"Нет")</s:f>
        <s:v>14</s:v>
      </s:c>
      <s:c r="CI55" s="208">
        <s:f validation_="true">SUMIFS(CI4:CI51,$C$4:$C$51,"Нет")</s:f>
        <s:v>14</s:v>
      </s:c>
      <s:c r="CJ55" s="208">
        <s:f validation_="true">SUMIFS(CJ4:CJ51,$C$4:$C$51,"Нет")</s:f>
        <s:v>16</s:v>
      </s:c>
      <s:c r="CK55" s="208">
        <s:f validation_="true">SUMIFS(CK4:CK51,$C$4:$C$51,"Нет")</s:f>
        <s:v>14</s:v>
      </s:c>
      <s:c r="CL55" s="208">
        <s:f validation_="true">SUMIFS(CL4:CL51,$C$4:$C$51,"Нет")</s:f>
        <s:v>17</s:v>
      </s:c>
      <s:c r="CM55" s="208">
        <s:f validation_="true">SUMIFS(CM4:CM51,$C$4:$C$51,"Нет")</s:f>
        <s:v>19</s:v>
      </s:c>
      <s:c r="CN55" s="208">
        <s:f validation_="true">SUMIFS(CN4:CN51,$C$4:$C$51,"Нет")</s:f>
        <s:v>0</s:v>
      </s:c>
      <s:c r="CO55" s="208">
        <s:f validation_="true">SUMIFS(CO4:CO51,$C$4:$C$51,"Нет")</s:f>
        <s:v>3</s:v>
      </s:c>
      <s:c r="CP55" s="208">
        <s:f validation_="true">SUMIFS(CP4:CP51,$C$4:$C$51,"Нет")</s:f>
        <s:v>5</s:v>
      </s:c>
      <s:c r="CQ55" s="208">
        <s:f validation_="true">SUMIFS(CQ4:CQ51,$C$4:$C$51,"Нет")</s:f>
        <s:v>0</s:v>
      </s:c>
      <s:c r="CR55" s="208">
        <s:f validation_="true">SUMIFS(CR4:CR51,$C$4:$C$51,"Нет")</s:f>
        <s:v>3</s:v>
      </s:c>
      <s:c r="CW55" s="114"/>
      <s:c r="CX55" s="114"/>
      <s:c r="CY55" s="112"/>
    </s:row>
    <s:row r="56" ht="24.75">
      <s:c r="B56" s="73" t="s">
        <s:v>33</s:v>
      </s:c>
      <s:c r="D56" s="209">
        <s:f validation_="true">SUMIFS(D4:D51,$C$4:$C$51,"Налич")</s:f>
        <s:v>13</s:v>
      </s:c>
      <s:c r="E56" s="209">
        <s:f validation_="true">SUMIFS(E4:E51,$C$4:$C$51,"Налич")</s:f>
        <s:v>0</s:v>
      </s:c>
      <s:c r="F56" s="209">
        <s:f validation_="true">SUMIFS(F4:F51,$C$4:$C$51,"Налич")</s:f>
        <s:v>0</s:v>
      </s:c>
      <s:c r="G56" s="209">
        <s:f validation_="true">SUMIFS(G4:G51,$C$4:$C$51,"Налич")</s:f>
        <s:v>0</s:v>
      </s:c>
      <s:c r="H56" s="209">
        <s:f validation_="true">SUMIFS(H4:H51,$C$4:$C$51,"Налич")</s:f>
        <s:v>0</s:v>
      </s:c>
      <s:c r="I56" s="209">
        <s:f validation_="true">SUMIFS(I4:I51,$C$4:$C$51,"Налич")</s:f>
        <s:v>0</s:v>
      </s:c>
      <s:c r="J56" s="209">
        <s:f validation_="true">SUMIFS(J4:J51,$C$4:$C$51,"Налич")</s:f>
        <s:v>0</s:v>
      </s:c>
      <s:c r="K56" s="209">
        <s:f validation_="true">SUMIFS(K4:K51,$C$4:$C$51,"Налич")</s:f>
        <s:v>0</s:v>
      </s:c>
      <s:c r="L56" s="209">
        <s:f validation_="true">SUMIFS(L4:L51,$C$4:$C$51,"Налич")</s:f>
        <s:v>0</s:v>
      </s:c>
      <s:c r="M56" s="209">
        <s:f validation_="true">SUMIFS(M4:M51,$C$4:$C$51,"Налич")</s:f>
        <s:v>0</s:v>
      </s:c>
      <s:c r="N56" s="209">
        <s:f validation_="true">SUMIFS(N4:N51,$C$4:$C$51,"Налич")</s:f>
        <s:v>0</s:v>
      </s:c>
      <s:c r="O56" s="209">
        <s:f validation_="true">SUMIFS(O4:O51,$C$4:$C$51,"Налич")</s:f>
        <s:v>0</s:v>
      </s:c>
      <s:c r="P56" s="209">
        <s:f validation_="true">SUMIFS(P4:P51,$C$4:$C$51,"Налич")</s:f>
        <s:v>0</s:v>
      </s:c>
      <s:c r="Q56" s="209">
        <s:f validation_="true">SUMIFS(Q4:Q51,$C$4:$C$51,"Налич")</s:f>
        <s:v>0</s:v>
      </s:c>
      <s:c r="R56" s="209">
        <s:f validation_="true">SUMIFS(R4:R51,$C$4:$C$51,"Налич")</s:f>
        <s:v>0</s:v>
      </s:c>
      <s:c r="S56" s="209">
        <s:f validation_="true">SUMIFS(S4:S51,$C$4:$C$51,"Налич")</s:f>
        <s:v>0</s:v>
      </s:c>
      <s:c r="T56" s="209">
        <s:f validation_="true">SUMIFS(T4:T51,$C$4:$C$51,"Налич")</s:f>
        <s:v>0</s:v>
      </s:c>
      <s:c r="U56" s="209">
        <s:f validation_="true">SUMIFS(U4:U51,$C$4:$C$51,"Налич")</s:f>
        <s:v>0</s:v>
      </s:c>
      <s:c r="V56" s="209">
        <s:f validation_="true">SUMIFS(V4:V51,$C$4:$C$51,"Налич")</s:f>
        <s:v>0</s:v>
      </s:c>
      <s:c r="W56" s="209">
        <s:f validation_="true">SUMIFS(W4:W51,$C$4:$C$51,"Налич")</s:f>
        <s:v>0</s:v>
      </s:c>
      <s:c r="X56" s="209">
        <s:f validation_="true">SUMIFS(X4:X51,$C$4:$C$51,"Налич")</s:f>
        <s:v>0</s:v>
      </s:c>
      <s:c r="Y56" s="209">
        <s:f validation_="true">SUMIFS(Y4:Y51,$C$4:$C$51,"Налич")</s:f>
        <s:v>0</s:v>
      </s:c>
      <s:c r="Z56" s="209">
        <s:f validation_="true">SUMIFS(Z4:Z51,$C$4:$C$51,"Налич")</s:f>
        <s:v>0</s:v>
      </s:c>
      <s:c r="AA56" s="209">
        <s:f validation_="true">SUMIFS(AA4:AA51,$C$4:$C$51,"Налич")</s:f>
        <s:v>0</s:v>
      </s:c>
      <s:c r="AB56" s="209">
        <s:f validation_="true">SUMIFS(AB4:AB51,$C$4:$C$51,"Налич")</s:f>
        <s:v>0</s:v>
      </s:c>
      <s:c r="AC56" s="209">
        <s:f validation_="true">SUMIFS(AC4:AC51,$C$4:$C$51,"Налич")</s:f>
        <s:v>0</s:v>
      </s:c>
      <s:c r="AD56" s="209">
        <s:f validation_="true">SUMIFS(AD4:AD51,$C$4:$C$51,"Налич")</s:f>
        <s:v>0</s:v>
      </s:c>
      <s:c r="AE56" s="209">
        <s:f validation_="true">SUMIFS(AE4:AE51,$C$4:$C$51,"Налич")</s:f>
        <s:v>0</s:v>
      </s:c>
      <s:c r="AF56" s="209">
        <s:f validation_="true">SUMIFS(AF4:AF51,$C$4:$C$51,"Налич")</s:f>
        <s:v>0</s:v>
      </s:c>
      <s:c r="AG56" s="209">
        <s:f validation_="true">SUMIFS(AG4:AG51,$C$4:$C$51,"Налич")</s:f>
        <s:v>0</s:v>
      </s:c>
      <s:c r="AH56" s="209">
        <s:f validation_="true">SUMIFS(AH4:AH51,$C$4:$C$51,"Налич")</s:f>
        <s:v>0</s:v>
      </s:c>
      <s:c r="AI56" s="209">
        <s:f validation_="true">SUMIFS(AI4:AI51,$C$4:$C$51,"Налич")</s:f>
        <s:v>0</s:v>
      </s:c>
      <s:c r="AJ56" s="209">
        <s:f validation_="true">SUMIFS(AJ4:AJ51,$C$4:$C$51,"Налич")</s:f>
        <s:v>0</s:v>
      </s:c>
      <s:c r="AK56" s="209">
        <s:f validation_="true">SUMIFS(AK4:AK51,$C$4:$C$51,"Налич")</s:f>
        <s:v>0</s:v>
      </s:c>
      <s:c r="AL56" s="209">
        <s:f validation_="true">SUMIFS(AL4:AL51,$C$4:$C$51,"Налич")</s:f>
        <s:v>0</s:v>
      </s:c>
      <s:c r="AM56" s="209">
        <s:f validation_="true">SUMIFS(AM4:AM51,$C$4:$C$51,"Налич")</s:f>
        <s:v>0</s:v>
      </s:c>
      <s:c r="AN56" s="209">
        <s:f validation_="true">SUMIFS(AN4:AN51,$C$4:$C$51,"Налич")</s:f>
        <s:v>0</s:v>
      </s:c>
      <s:c r="AO56" s="209">
        <s:f validation_="true">SUMIFS(AO4:AO51,$C$4:$C$51,"Налич")</s:f>
        <s:v>0</s:v>
      </s:c>
      <s:c r="AP56" s="209">
        <s:f validation_="true">SUMIFS(AP4:AP51,$C$4:$C$51,"Налич")</s:f>
        <s:v>0</s:v>
      </s:c>
      <s:c r="AQ56" s="209">
        <s:f validation_="true">SUMIFS(AQ4:AQ51,$C$4:$C$51,"Налич")</s:f>
        <s:v>0</s:v>
      </s:c>
      <s:c r="AR56" s="209">
        <s:f validation_="true">SUMIFS(AR4:AR51,$C$4:$C$51,"Налич")</s:f>
        <s:v>0</s:v>
      </s:c>
      <s:c r="AS56" s="209">
        <s:f validation_="true">SUMIFS(AS4:AS51,$C$4:$C$51,"Налич")</s:f>
        <s:v>0</s:v>
      </s:c>
      <s:c r="AT56" s="209">
        <s:f validation_="true">SUMIFS(AT4:AT51,$C$4:$C$51,"Налич")</s:f>
        <s:v>0</s:v>
      </s:c>
      <s:c r="AU56" s="209">
        <s:f validation_="true">SUMIFS(AU4:AU51,$C$4:$C$51,"Налич")</s:f>
        <s:v>0</s:v>
      </s:c>
      <s:c r="AV56" s="209">
        <s:f validation_="true">SUMIFS(AV4:AV51,$C$4:$C$51,"Налич")</s:f>
        <s:v>0</s:v>
      </s:c>
      <s:c r="AW56" s="209">
        <s:f validation_="true">SUMIFS(AW4:AW51,$C$4:$C$51,"Налич")</s:f>
        <s:v>0</s:v>
      </s:c>
      <s:c r="AX56" s="209">
        <s:f validation_="true">SUMIFS(AX4:AX51,$C$4:$C$51,"Налич")</s:f>
        <s:v>1</s:v>
      </s:c>
      <s:c r="AY56" s="209">
        <s:f validation_="true">SUMIFS(AY4:AY51,$C$4:$C$51,"Налич")</s:f>
        <s:v>0</s:v>
      </s:c>
      <s:c r="AZ56" s="209">
        <s:f validation_="true">SUMIFS(AZ4:AZ51,$C$4:$C$51,"Налич")</s:f>
        <s:v>0</s:v>
      </s:c>
      <s:c r="BA56" s="209">
        <s:f validation_="true">SUMIFS(BA4:BA51,$C$4:$C$51,"Налич")</s:f>
        <s:v>0</s:v>
      </s:c>
      <s:c r="BB56" s="209">
        <s:f validation_="true">SUMIFS(BB4:BB51,$C$4:$C$51,"Налич")</s:f>
        <s:v>0</s:v>
      </s:c>
      <s:c r="BC56" s="209">
        <s:f validation_="true">SUMIFS(BC4:BC51,$C$4:$C$51,"Налич")</s:f>
        <s:v>0</s:v>
      </s:c>
      <s:c r="BD56" s="209">
        <s:f validation_="true">SUMIFS(BD4:BD51,$C$4:$C$51,"Налич")</s:f>
        <s:v>0</s:v>
      </s:c>
      <s:c r="BE56" s="209">
        <s:f validation_="true">SUMIFS(BE4:BE51,$C$4:$C$51,"Налич")</s:f>
        <s:v>0</s:v>
      </s:c>
      <s:c r="BF56" s="209">
        <s:f validation_="true">SUMIFS(BF4:BF51,$C$4:$C$51,"Налич")</s:f>
        <s:v>0</s:v>
      </s:c>
      <s:c r="BG56" s="209">
        <s:f validation_="true">SUMIFS(BG4:BG51,$C$4:$C$51,"Налич")</s:f>
        <s:v>0</s:v>
      </s:c>
      <s:c r="BH56" s="209">
        <s:f validation_="true">SUMIFS(BH4:BH51,$C$4:$C$51,"Налич")</s:f>
        <s:v>0</s:v>
      </s:c>
      <s:c r="BI56" s="209">
        <s:f validation_="true">SUMIFS(BI4:BI51,$C$4:$C$51,"Налич")</s:f>
        <s:v>0</s:v>
      </s:c>
      <s:c r="BJ56" s="209">
        <s:f validation_="true">SUMIFS(BJ4:BJ51,$C$4:$C$51,"Налич")</s:f>
        <s:v>0</s:v>
      </s:c>
      <s:c r="BK56" s="209">
        <s:f validation_="true">SUMIFS(BK4:BK51,$C$4:$C$51,"Налич")</s:f>
        <s:v>0</s:v>
      </s:c>
      <s:c r="BL56" s="209">
        <s:f validation_="true">SUMIFS(BL4:BL51,$C$4:$C$51,"Налич")</s:f>
        <s:v>0</s:v>
      </s:c>
      <s:c r="BM56" s="209">
        <s:f validation_="true">SUMIFS(BM4:BM51,$C$4:$C$51,"Налич")</s:f>
        <s:v>0</s:v>
      </s:c>
      <s:c r="BN56" s="209">
        <s:f validation_="true">SUMIFS(BN4:BN51,$C$4:$C$51,"Налич")</s:f>
        <s:v>0</s:v>
      </s:c>
      <s:c r="BO56" s="209">
        <s:f validation_="true">SUMIFS(BO4:BO51,$C$4:$C$51,"Налич")</s:f>
        <s:v>0</s:v>
      </s:c>
      <s:c r="BP56" s="209">
        <s:f validation_="true">SUMIFS(BP4:BP51,$C$4:$C$51,"Налич")</s:f>
        <s:v>0</s:v>
      </s:c>
      <s:c r="BQ56" s="209">
        <s:f validation_="true">SUMIFS(BQ4:BQ51,$C$4:$C$51,"Налич")</s:f>
        <s:v>0</s:v>
      </s:c>
      <s:c r="BR56" s="209">
        <s:f validation_="true">SUMIFS(BR4:BR51,$C$4:$C$51,"Налич")</s:f>
        <s:v>0</s:v>
      </s:c>
      <s:c r="BS56" s="209">
        <s:f validation_="true">SUMIFS(BS4:BS51,$C$4:$C$51,"Налич")</s:f>
        <s:v>0</s:v>
      </s:c>
      <s:c r="BT56" s="209">
        <s:f validation_="true">SUMIFS(BT4:BT51,$C$4:$C$51,"Налич")</s:f>
        <s:v>0</s:v>
      </s:c>
      <s:c r="BU56" s="209">
        <s:f validation_="true">SUMIFS(BU4:BU51,$C$4:$C$51,"Налич")</s:f>
        <s:v>0</s:v>
      </s:c>
      <s:c r="BV56" s="209">
        <s:f validation_="true">SUMIFS(BV4:BV51,$C$4:$C$51,"Налич")</s:f>
        <s:v>0</s:v>
      </s:c>
      <s:c r="BW56" s="209">
        <s:f validation_="true">SUMIFS(BW4:BW51,$C$4:$C$51,"Налич")</s:f>
        <s:v>0</s:v>
      </s:c>
      <s:c r="BX56" s="209">
        <s:f validation_="true">SUMIFS(BX4:BX51,$C$4:$C$51,"Налич")</s:f>
        <s:v>0</s:v>
      </s:c>
      <s:c r="BY56" s="209">
        <s:f validation_="true">SUMIFS(BY4:BY51,$C$4:$C$51,"Налич")</s:f>
        <s:v>0</s:v>
      </s:c>
      <s:c r="BZ56" s="209">
        <s:f validation_="true">SUMIFS(BZ4:BZ51,$C$4:$C$51,"Налич")</s:f>
        <s:v>13</s:v>
      </s:c>
      <s:c r="CA56" s="209">
        <s:f validation_="true">SUMIFS(CA4:CA51,$C$4:$C$51,"Налич")</s:f>
        <s:v>13</s:v>
      </s:c>
      <s:c r="CB56" s="209">
        <s:f validation_="true">SUMIFS(CB4:CB51,$C$4:$C$51,"Налич")</s:f>
        <s:v>0</s:v>
      </s:c>
      <s:c r="CC56" s="209">
        <s:f validation_="true">SUMIFS(CC4:CC51,$C$4:$C$51,"Налич")</s:f>
        <s:v>13</s:v>
      </s:c>
      <s:c r="CD56" s="209">
        <s:f validation_="true">SUMIFS(CD4:CD51,$C$4:$C$51,"Налич")</s:f>
        <s:v>13</s:v>
      </s:c>
      <s:c r="CE56" s="209">
        <s:f validation_="true">SUMIFS(CE4:CE51,$C$4:$C$51,"Налич")</s:f>
        <s:v>0</s:v>
      </s:c>
      <s:c r="CF56" s="209">
        <s:f validation_="true">SUMIFS(CF4:CF51,$C$4:$C$51,"Налич")</s:f>
        <s:v>13</s:v>
      </s:c>
      <s:c r="CG56" s="209">
        <s:f validation_="true">SUMIFS(CG4:CG51,$C$4:$C$51,"Налич")</s:f>
        <s:v>13</s:v>
      </s:c>
      <s:c r="CH56" s="209">
        <s:f validation_="true">SUMIFS(CH4:CH51,$C$4:$C$51,"Налич")</s:f>
        <s:v>0</s:v>
      </s:c>
      <s:c r="CI56" s="209">
        <s:f validation_="true">SUMIFS(CI4:CI51,$C$4:$C$51,"Налич")</s:f>
        <s:v>13</s:v>
      </s:c>
      <s:c r="CJ56" s="209">
        <s:f validation_="true">SUMIFS(CJ4:CJ51,$C$4:$C$51,"Налич")</s:f>
        <s:v>13</s:v>
      </s:c>
      <s:c r="CK56" s="209">
        <s:f validation_="true">SUMIFS(CK4:CK51,$C$4:$C$51,"Налич")</s:f>
        <s:v>0</s:v>
      </s:c>
      <s:c r="CL56" s="209">
        <s:f validation_="true">SUMIFS(CL4:CL51,$C$4:$C$51,"Налич")</s:f>
        <s:v>0</s:v>
      </s:c>
      <s:c r="CM56" s="209">
        <s:f validation_="true">SUMIFS(CM4:CM51,$C$4:$C$51,"Налич")</s:f>
        <s:v>0</s:v>
      </s:c>
      <s:c r="CN56" s="209">
        <s:f validation_="true">SUMIFS(CN4:CN51,$C$4:$C$51,"Налич")</s:f>
        <s:v>0</s:v>
      </s:c>
      <s:c r="CO56" s="209">
        <s:f validation_="true">SUMIFS(CO4:CO51,$C$4:$C$51,"Налич")</s:f>
        <s:v>0</s:v>
      </s:c>
      <s:c r="CP56" s="209">
        <s:f validation_="true">SUMIFS(CP4:CP51,$C$4:$C$51,"Налич")</s:f>
        <s:v>0</s:v>
      </s:c>
      <s:c r="CQ56" s="209">
        <s:f validation_="true">SUMIFS(CQ4:CQ51,$C$4:$C$51,"Налич")</s:f>
        <s:v>0</s:v>
      </s:c>
      <s:c r="CR56" s="209">
        <s:f validation_="true">SUMIFS(CR4:CR51,$C$4:$C$51,"Налич")</s:f>
        <s:v>0</s:v>
      </s:c>
      <s:c r="CW56" s="114"/>
      <s:c r="CX56" s="114"/>
      <s:c r="CY56" s="112"/>
    </s:row>
    <s:row r="57" ht="24.75">
      <s:c r="B57" s="73" t="s">
        <s:v>34</s:v>
      </s:c>
      <s:c r="D57" s="151">
        <s:f>D54*$D$62+E54*$D$63+F54*$D$64</s:f>
        <s:v>0</s:v>
      </s:c>
      <s:c r="E57" s="152"/>
      <s:c r="F57" s="153"/>
      <s:c r="G57" s="154">
        <s:f>G54*$D$62+H54*$D$63+I54*$D$64</s:f>
        <s:v>0</s:v>
      </s:c>
      <s:c r="H57" s="152"/>
      <s:c r="I57" s="155"/>
      <s:c r="J57" s="151">
        <s:f>J54*$D$62+K54*$D$63+L54*$D$64</s:f>
        <s:v>0</s:v>
      </s:c>
      <s:c r="K57" s="152"/>
      <s:c r="L57" s="153"/>
      <s:c r="M57" s="154">
        <s:f>M54*$D$62+N54*$D$63+O54*$D$64</s:f>
        <s:v>0</s:v>
      </s:c>
      <s:c r="N57" s="152"/>
      <s:c r="O57" s="155"/>
      <s:c r="P57" s="151">
        <s:f>P54*$D$62+Q54*$D$63+R54*$D$64</s:f>
        <s:v>0</s:v>
      </s:c>
      <s:c r="Q57" s="152"/>
      <s:c r="R57" s="153"/>
      <s:c r="S57" s="154">
        <s:f>S54*$D$62+T54*$D$63+U54*$D$64</s:f>
        <s:v>0</s:v>
      </s:c>
      <s:c r="T57" s="152"/>
      <s:c r="U57" s="155"/>
      <s:c r="V57" s="151">
        <s:f>V54*$D$62+W54*$D$63+X54*$D$64</s:f>
        <s:v>0</s:v>
      </s:c>
      <s:c r="W57" s="152"/>
      <s:c r="X57" s="153"/>
      <s:c r="Y57" s="154">
        <s:f>Y54*$D$62+Z54*$D$63+AA54*$D$64</s:f>
        <s:v>0</s:v>
      </s:c>
      <s:c r="Z57" s="152"/>
      <s:c r="AA57" s="155"/>
      <s:c r="AB57" s="151">
        <s:f>AB54*$D$62+AC54*$D$63+AD54*$D$64</s:f>
        <s:v>0</s:v>
      </s:c>
      <s:c r="AC57" s="152"/>
      <s:c r="AD57" s="153"/>
      <s:c r="AE57" s="154">
        <s:f>AE54*$D$62+AF54*$D$63+AG54*$D$64</s:f>
        <s:v>976</s:v>
      </s:c>
      <s:c r="AF57" s="152"/>
      <s:c r="AG57" s="155"/>
      <s:c r="AH57" s="151">
        <s:f>AH54*$D$62+AI54*$D$63+AJ54*$D$64</s:f>
        <s:v>976</s:v>
      </s:c>
      <s:c r="AI57" s="152"/>
      <s:c r="AJ57" s="153"/>
      <s:c r="AK57" s="154">
        <s:f>AK54*$D$62+AL54*$D$63+AM54*$D$64</s:f>
        <s:v>3050</s:v>
      </s:c>
      <s:c r="AL57" s="152"/>
      <s:c r="AM57" s="155"/>
      <s:c r="AN57" s="151">
        <s:f>AN54*$D$62+AO54*$D$63+AP54*$D$64</s:f>
        <s:v>3904</s:v>
      </s:c>
      <s:c r="AO57" s="152"/>
      <s:c r="AP57" s="153"/>
      <s:c r="AQ57" s="154">
        <s:f>AQ54*$D$62+AR54*$D$63+AS54*$D$64</s:f>
        <s:v>0</s:v>
      </s:c>
      <s:c r="AR57" s="152"/>
      <s:c r="AS57" s="155"/>
      <s:c r="AT57" s="151">
        <s:f>AT54*$D$62+AU54*$D$63+AV54*$D$64</s:f>
        <s:v>25376</s:v>
      </s:c>
      <s:c r="AU57" s="152"/>
      <s:c r="AV57" s="153"/>
      <s:c r="AW57" s="154">
        <s:f>AW54*$D$62+AX54*$D$63+AY54*$D$64</s:f>
        <s:v>0</s:v>
      </s:c>
      <s:c r="AX57" s="152"/>
      <s:c r="AY57" s="155"/>
      <s:c r="AZ57" s="151">
        <s:f>AZ54*$D$62+BA54*$D$63+BB54*$D$64</s:f>
        <s:v>0</s:v>
      </s:c>
      <s:c r="BA57" s="152"/>
      <s:c r="BB57" s="153"/>
      <s:c r="BC57" s="154">
        <s:f>BC54*$D$62+BD54*$D$63+BE54*$D$64</s:f>
        <s:v>1037</s:v>
      </s:c>
      <s:c r="BD57" s="152"/>
      <s:c r="BE57" s="155"/>
      <s:c r="BF57" s="151">
        <s:f>BF54*$D$62+BG54*$D$63+BH54*$D$64</s:f>
        <s:v>976</s:v>
      </s:c>
      <s:c r="BG57" s="152"/>
      <s:c r="BH57" s="153"/>
      <s:c r="BI57" s="154">
        <s:f>BI54*$D$62+BJ54*$D$63+BK54*$D$64</s:f>
        <s:v>0</s:v>
      </s:c>
      <s:c r="BJ57" s="152"/>
      <s:c r="BK57" s="155"/>
      <s:c r="BL57" s="151">
        <s:f>BL54*$D$62+BM54*$D$63+BN54*$D$64</s:f>
        <s:v>3172</s:v>
      </s:c>
      <s:c r="BM57" s="152"/>
      <s:c r="BN57" s="153"/>
      <s:c r="BO57" s="154">
        <s:f>BO54*$D$62+BP54*$D$63+BQ54*$D$64</s:f>
        <s:v>0</s:v>
      </s:c>
      <s:c r="BP57" s="152"/>
      <s:c r="BQ57" s="155"/>
      <s:c r="BR57" s="151">
        <s:f>BR54*$D$62+BS54*$D$63+BT54*$D$64</s:f>
        <s:v>2074</s:v>
      </s:c>
      <s:c r="BS57" s="152"/>
      <s:c r="BT57" s="153"/>
      <s:c r="BU57" s="154">
        <s:f>BU54*$D$62+BV54*$D$63+BW54*$D$64</s:f>
        <s:v>3050</s:v>
      </s:c>
      <s:c r="BV57" s="152"/>
      <s:c r="BW57" s="155"/>
      <s:c r="BX57" s="151">
        <s:f>BX54*$D$62+BY54*$D$63+BZ54*$D$64</s:f>
        <s:v>3050</s:v>
      </s:c>
      <s:c r="BY57" s="152"/>
      <s:c r="BZ57" s="153"/>
      <s:c r="CA57" s="154">
        <s:f>CA54*$D$62+CB54*$D$63+CC54*$D$64</s:f>
        <s:v>2074</s:v>
      </s:c>
      <s:c r="CB57" s="152"/>
      <s:c r="CC57" s="155"/>
      <s:c r="CD57" s="151">
        <s:f>CD54*$D$62+CE54*$D$63+CF54*$D$64</s:f>
        <s:v>2074</s:v>
      </s:c>
      <s:c r="CE57" s="152"/>
      <s:c r="CF57" s="153"/>
      <s:c r="CG57" s="154">
        <s:f>CG54*$D$62+CH54*$D$63+CI54*$D$64</s:f>
        <s:v>2074</s:v>
      </s:c>
      <s:c r="CH57" s="152"/>
      <s:c r="CI57" s="155"/>
      <s:c r="CJ57" s="151">
        <s:f>CJ54*$D$62+CK54*$D$63+CL54*$D$64</s:f>
        <s:v>2074</s:v>
      </s:c>
      <s:c r="CK57" s="152"/>
      <s:c r="CL57" s="153"/>
      <s:c r="CM57" s="154">
        <s:f>CM54*$D$62+CN54*$D$63+CO54*$D$64</s:f>
        <s:v>2074</s:v>
      </s:c>
      <s:c r="CN57" s="152"/>
      <s:c r="CO57" s="155"/>
      <s:c r="CP57" s="151">
        <s:f>CP54*$D$62+CQ54*$D$63+CR54*$D$64</s:f>
        <s:v>2074</s:v>
      </s:c>
      <s:c r="CQ57" s="152"/>
      <s:c r="CR57" s="153"/>
      <s:c r="CS57" s="104"/>
      <s:c r="CT57" s="105"/>
      <s:c r="CU57" s="105"/>
      <s:c r="CV57" s="105"/>
      <s:c r="CW57" s="115" t="s">
        <s:v>38</s:v>
      </s:c>
      <s:c r="CX57" s="113">
        <s:f>SUM(D57:CR57)</s:f>
        <s:v>60085</s:v>
      </s:c>
      <s:c r="CY57" s="112"/>
    </s:row>
    <s:row r="58" ht="24.75">
      <s:c r="B58" s="73" t="s">
        <s:v>35</s:v>
      </s:c>
      <s:c r="D58" s="149">
        <s:f>D55*$C$62+E55*$C$63+F55*$C$64</s:f>
        <s:v>22400</s:v>
      </s:c>
      <s:c r="E58" s="147"/>
      <s:c r="F58" s="150"/>
      <s:c r="G58" s="146">
        <s:f>G55*$C$62+H55*$C$63+I55*$C$64</s:f>
        <s:v>0</s:v>
      </s:c>
      <s:c r="H58" s="147"/>
      <s:c r="I58" s="148"/>
      <s:c r="J58" s="149">
        <s:f>J55*$C$62+K55*$C$63+L55*$C$64</s:f>
        <s:v>0</s:v>
      </s:c>
      <s:c r="K58" s="147"/>
      <s:c r="L58" s="150"/>
      <s:c r="M58" s="149">
        <s:f>M55*$C$62+N55*$C$63+O55*$C$64</s:f>
        <s:v>0</s:v>
      </s:c>
      <s:c r="N58" s="147"/>
      <s:c r="O58" s="150"/>
      <s:c r="P58" s="149">
        <s:f>P55*$C$62+Q55*$C$63+R55*$C$64</s:f>
        <s:v>0</s:v>
      </s:c>
      <s:c r="Q58" s="147"/>
      <s:c r="R58" s="150"/>
      <s:c r="S58" s="149">
        <s:f>S55*$C$62+T55*$C$63+U55*$C$64</s:f>
        <s:v>0</s:v>
      </s:c>
      <s:c r="T58" s="147"/>
      <s:c r="U58" s="150"/>
      <s:c r="V58" s="149">
        <s:f>V55*$C$62+W55*$C$63+X55*$C$64</s:f>
        <s:v>0</s:v>
      </s:c>
      <s:c r="W58" s="147"/>
      <s:c r="X58" s="150"/>
      <s:c r="Y58" s="149">
        <s:f>Y55*$C$62+Z55*$C$63+AA55*$C$64</s:f>
        <s:v>0</s:v>
      </s:c>
      <s:c r="Z58" s="147"/>
      <s:c r="AA58" s="150"/>
      <s:c r="AB58" s="149">
        <s:f>AB55*$C$62+AC55*$C$63+AD55*$C$64</s:f>
        <s:v>0</s:v>
      </s:c>
      <s:c r="AC58" s="147"/>
      <s:c r="AD58" s="150"/>
      <s:c r="AE58" s="146">
        <s:f>AE55*$C$62+AF55*$C$63+AG55*$C$64</s:f>
        <s:v>850</s:v>
      </s:c>
      <s:c r="AF58" s="147"/>
      <s:c r="AG58" s="148"/>
      <s:c r="AH58" s="149">
        <s:f>AH55*$C$62+AI55*$C$63+AJ55*$C$64</s:f>
        <s:v>800</s:v>
      </s:c>
      <s:c r="AI58" s="147"/>
      <s:c r="AJ58" s="150"/>
      <s:c r="AK58" s="146">
        <s:f>AK55*$C$62+AL55*$C$63+AM55*$C$64</s:f>
        <s:v>4100</s:v>
      </s:c>
      <s:c r="AL58" s="147"/>
      <s:c r="AM58" s="148"/>
      <s:c r="AN58" s="149">
        <s:f>AN55*$C$62+AO55*$C$63+AP55*$C$64</s:f>
        <s:v>37800</s:v>
      </s:c>
      <s:c r="AO58" s="147"/>
      <s:c r="AP58" s="150"/>
      <s:c r="AQ58" s="146">
        <s:f>AQ55*$C$62+AR55*$C$63+AS55*$C$64</s:f>
        <s:v>37000</s:v>
      </s:c>
      <s:c r="AR58" s="147"/>
      <s:c r="AS58" s="148"/>
      <s:c r="AT58" s="149">
        <s:f>AT55*$C$62+AU55*$C$63+AV55*$C$64</s:f>
        <s:v>37000</s:v>
      </s:c>
      <s:c r="AU58" s="147"/>
      <s:c r="AV58" s="150"/>
      <s:c r="AW58" s="146">
        <s:f>AW55*$C$62+AX55*$C$63+AY55*$C$64</s:f>
        <s:v>0</s:v>
      </s:c>
      <s:c r="AX58" s="147"/>
      <s:c r="AY58" s="148"/>
      <s:c r="AZ58" s="149">
        <s:f>AZ55*$C$62+BA55*$C$63+BB55*$C$64</s:f>
        <s:v>2550</s:v>
      </s:c>
      <s:c r="BA58" s="147"/>
      <s:c r="BB58" s="150"/>
      <s:c r="BC58" s="146">
        <s:f>BC55*$C$62+BD55*$C$63+BE55*$C$64</s:f>
        <s:v>6550</s:v>
      </s:c>
      <s:c r="BD58" s="147"/>
      <s:c r="BE58" s="148"/>
      <s:c r="BF58" s="149">
        <s:f>BF55*$C$62+BG55*$C$63+BH55*$C$64</s:f>
        <s:v>7350</s:v>
      </s:c>
      <s:c r="BG58" s="147"/>
      <s:c r="BH58" s="150"/>
      <s:c r="BI58" s="146">
        <s:f>BI55*$C$62+BJ55*$C$63+BK55*$C$64</s:f>
        <s:v>5600</s:v>
      </s:c>
      <s:c r="BJ58" s="147"/>
      <s:c r="BK58" s="148"/>
      <s:c r="BL58" s="149">
        <s:f>BL55*$C$62+BM55*$C$63+BN55*$C$64</s:f>
        <s:v>0</s:v>
      </s:c>
      <s:c r="BM58" s="147"/>
      <s:c r="BN58" s="150"/>
      <s:c r="BO58" s="146">
        <s:f>BO55*$C$62+BP55*$C$63+BQ55*$C$64</s:f>
        <s:v>2550</s:v>
      </s:c>
      <s:c r="BP58" s="147"/>
      <s:c r="BQ58" s="148"/>
      <s:c r="BR58" s="149">
        <s:f>BR55*$C$62+BS55*$C$63+BT55*$C$64</s:f>
        <s:v>8150</s:v>
      </s:c>
      <s:c r="BS58" s="147"/>
      <s:c r="BT58" s="150"/>
      <s:c r="BU58" s="146">
        <s:f>BU55*$C$62+BV55*$C$63+BW55*$C$64</s:f>
        <s:v>6550</s:v>
      </s:c>
      <s:c r="BV58" s="147"/>
      <s:c r="BW58" s="148"/>
      <s:c r="BX58" s="149">
        <s:f>BX55*$C$62+BY55*$C$63+BZ55*$C$64</s:f>
        <s:v>8150</s:v>
      </s:c>
      <s:c r="BY58" s="147"/>
      <s:c r="BZ58" s="150"/>
      <s:c r="CA58" s="146">
        <s:f>CA55*$C$62+CB55*$C$63+CC55*$C$64</s:f>
        <s:v>43650</s:v>
      </s:c>
      <s:c r="CB58" s="147"/>
      <s:c r="CC58" s="148"/>
      <s:c r="CD58" s="149">
        <s:f>CD55*$C$62+CE55*$C$63+CF55*$C$64</s:f>
        <s:v>41100</s:v>
      </s:c>
      <s:c r="CE58" s="147"/>
      <s:c r="CF58" s="150"/>
      <s:c r="CG58" s="146">
        <s:f>CG55*$C$62+CH55*$C$63+CI55*$C$64</s:f>
        <s:v>38700</s:v>
      </s:c>
      <s:c r="CH58" s="147"/>
      <s:c r="CI58" s="148"/>
      <s:c r="CJ58" s="149">
        <s:f>CJ55*$C$62+CK55*$C$63+CL55*$C$64</s:f>
        <s:v>41250</s:v>
      </s:c>
      <s:c r="CK58" s="147"/>
      <s:c r="CL58" s="150"/>
      <s:c r="CM58" s="146">
        <s:f>CM55*$C$62+CN55*$C$63+CO55*$C$64</s:f>
        <s:v>17750</s:v>
      </s:c>
      <s:c r="CN58" s="147"/>
      <s:c r="CO58" s="148"/>
      <s:c r="CP58" s="149">
        <s:f>CP55*$C$62+CQ55*$C$63+CR55*$C$64</s:f>
        <s:v>6550</s:v>
      </s:c>
      <s:c r="CQ58" s="147"/>
      <s:c r="CR58" s="150"/>
      <s:c r="CS58" s="106"/>
      <s:c r="CT58" s="107"/>
      <s:c r="CU58" s="107"/>
      <s:c r="CV58" s="116" t="s">
        <s:v>41</s:v>
      </s:c>
      <s:c r="CW58" s="113">
        <s:f>SUM(D58:CR58)</s:f>
        <s:v>376400</s:v>
      </s:c>
      <s:c r="CY58" s="112"/>
    </s:row>
    <s:row r="59" ht="24.75">
      <s:c r="B59" s="73" t="s">
        <s:v>36</s:v>
      </s:c>
      <s:c r="D59" s="156">
        <s:f>D56*$C$62+E56*$C$63+F56*$C$64</s:f>
        <s:v>10400</s:v>
      </s:c>
      <s:c r="E59" s="157"/>
      <s:c r="F59" s="158"/>
      <s:c r="G59" s="159">
        <s:f>G56*$C$62+H56*$C$63+I56*$C$64</s:f>
        <s:v>0</s:v>
      </s:c>
      <s:c r="H59" s="157"/>
      <s:c r="I59" s="160"/>
      <s:c r="J59" s="161">
        <s:f>J56*$C$62+K56*$C$63+L56*$C$64</s:f>
        <s:v>0</s:v>
      </s:c>
      <s:c r="K59" s="162"/>
      <s:c r="L59" s="163"/>
      <s:c r="M59" s="193">
        <s:f>M56*$C$62+N56*$C$63+O56*$C$64</s:f>
        <s:v>0</s:v>
      </s:c>
      <s:c r="N59" s="194"/>
      <s:c r="O59" s="195"/>
      <s:c r="P59" s="161">
        <s:f>P56*$C$62+Q56*$C$63+R56*$C$64</s:f>
        <s:v>0</s:v>
      </s:c>
      <s:c r="Q59" s="162"/>
      <s:c r="R59" s="163"/>
      <s:c r="S59" s="161">
        <s:f>S56*$C$62+T56*$C$63+U56*$C$64</s:f>
        <s:v>0</s:v>
      </s:c>
      <s:c r="T59" s="162"/>
      <s:c r="U59" s="163"/>
      <s:c r="V59" s="161">
        <s:f>V56*$C$62+W56*$C$63+X56*$C$64</s:f>
        <s:v>0</s:v>
      </s:c>
      <s:c r="W59" s="162"/>
      <s:c r="X59" s="163"/>
      <s:c r="Y59" s="161">
        <s:f>Y56*$C$62+Z56*$C$63+AA56*$C$64</s:f>
        <s:v>0</s:v>
      </s:c>
      <s:c r="Z59" s="162"/>
      <s:c r="AA59" s="163"/>
      <s:c r="AB59" s="161">
        <s:f>AB56*$C$62+AC56*$C$63+AD56*$C$64</s:f>
        <s:v>0</s:v>
      </s:c>
      <s:c r="AC59" s="162"/>
      <s:c r="AD59" s="163"/>
      <s:c r="AE59" s="161">
        <s:f>AE56*$C$62+AF56*$C$63+AG56*$C$64</s:f>
        <s:v>0</s:v>
      </s:c>
      <s:c r="AF59" s="162"/>
      <s:c r="AG59" s="163"/>
      <s:c r="AH59" s="161">
        <s:f>AH56*$C$62+AI56*$C$63+AJ56*$C$64</s:f>
        <s:v>0</s:v>
      </s:c>
      <s:c r="AI59" s="162"/>
      <s:c r="AJ59" s="163"/>
      <s:c r="AK59" s="161">
        <s:f>AK56*$C$62+AL56*$C$63+AM56*$C$64</s:f>
        <s:v>0</s:v>
      </s:c>
      <s:c r="AL59" s="162"/>
      <s:c r="AM59" s="163"/>
      <s:c r="AN59" s="161">
        <s:f>AN56*$C$62+AO56*$C$63+AP56*$C$64</s:f>
        <s:v>0</s:v>
      </s:c>
      <s:c r="AO59" s="162"/>
      <s:c r="AP59" s="163"/>
      <s:c r="AQ59" s="161">
        <s:f>AQ56*$C$62+AR56*$C$63+AS56*$C$64</s:f>
        <s:v>0</s:v>
      </s:c>
      <s:c r="AR59" s="162"/>
      <s:c r="AS59" s="163"/>
      <s:c r="AT59" s="156">
        <s:f>AT56*$C$62+AU56*$C$63+AV56*$C$64</s:f>
        <s:v>0</s:v>
      </s:c>
      <s:c r="AU59" s="157"/>
      <s:c r="AV59" s="158"/>
      <s:c r="AW59" s="159">
        <s:f>AW56*$C$62+AX56*$C$63+AY56*$C$64</s:f>
        <s:v>1000</s:v>
      </s:c>
      <s:c r="AX59" s="157"/>
      <s:c r="AY59" s="160"/>
      <s:c r="AZ59" s="156">
        <s:f>AZ56*$C$62+BA56*$C$63+BB56*$C$64</s:f>
        <s:v>0</s:v>
      </s:c>
      <s:c r="BA59" s="157"/>
      <s:c r="BB59" s="158"/>
      <s:c r="BC59" s="159">
        <s:f>BC56*$C$62+BD56*$C$63+BE56*$C$64</s:f>
        <s:v>0</s:v>
      </s:c>
      <s:c r="BD59" s="157"/>
      <s:c r="BE59" s="160"/>
      <s:c r="BF59" s="156">
        <s:f>BF56*$C$62+BG56*$C$63+BH56*$C$64</s:f>
        <s:v>0</s:v>
      </s:c>
      <s:c r="BG59" s="157"/>
      <s:c r="BH59" s="158"/>
      <s:c r="BI59" s="159">
        <s:f>BI56*$C$62+BJ56*$C$63+BK56*$C$64</s:f>
        <s:v>0</s:v>
      </s:c>
      <s:c r="BJ59" s="157"/>
      <s:c r="BK59" s="160"/>
      <s:c r="BL59" s="156">
        <s:f>BL56*$C$62+BM56*$C$63+BN56*$C$64</s:f>
        <s:v>0</s:v>
      </s:c>
      <s:c r="BM59" s="157"/>
      <s:c r="BN59" s="158"/>
      <s:c r="BO59" s="159">
        <s:f>BO56*$C$62+BP56*$C$63+BQ56*$C$64</s:f>
        <s:v>0</s:v>
      </s:c>
      <s:c r="BP59" s="157"/>
      <s:c r="BQ59" s="160"/>
      <s:c r="BR59" s="156">
        <s:f>BR56*$C$62+BS56*$C$63+BT56*$C$64</s:f>
        <s:v>0</s:v>
      </s:c>
      <s:c r="BS59" s="157"/>
      <s:c r="BT59" s="158"/>
      <s:c r="BU59" s="159">
        <s:f>BU56*$C$62+BV56*$C$63+BW56*$C$64</s:f>
        <s:v>0</s:v>
      </s:c>
      <s:c r="BV59" s="157"/>
      <s:c r="BW59" s="160"/>
      <s:c r="BX59" s="156">
        <s:f>BX56*$C$62+BY56*$C$63+BZ56*$C$64</s:f>
        <s:v>11050</s:v>
      </s:c>
      <s:c r="BY59" s="157"/>
      <s:c r="BZ59" s="158"/>
      <s:c r="CA59" s="159">
        <s:f>CA56*$C$62+CB56*$C$63+CC56*$C$64</s:f>
        <s:v>21450</s:v>
      </s:c>
      <s:c r="CB59" s="157"/>
      <s:c r="CC59" s="160"/>
      <s:c r="CD59" s="156">
        <s:f>CD56*$C$62+CE56*$C$63+CF56*$C$64</s:f>
        <s:v>21450</s:v>
      </s:c>
      <s:c r="CE59" s="157"/>
      <s:c r="CF59" s="158"/>
      <s:c r="CG59" s="159">
        <s:f>CG56*$C$62+CH56*$C$63+CI56*$C$64</s:f>
        <s:v>21450</s:v>
      </s:c>
      <s:c r="CH59" s="157"/>
      <s:c r="CI59" s="160"/>
      <s:c r="CJ59" s="156">
        <s:f>CJ56*$C$62+CK56*$C$63+CL56*$C$64</s:f>
        <s:v>10400</s:v>
      </s:c>
      <s:c r="CK59" s="157"/>
      <s:c r="CL59" s="158"/>
      <s:c r="CM59" s="159">
        <s:f>CM56*$C$62+CN56*$C$63+CO56*$C$64</s:f>
        <s:v>0</s:v>
      </s:c>
      <s:c r="CN59" s="157"/>
      <s:c r="CO59" s="160"/>
      <s:c r="CP59" s="156">
        <s:f>CP56*$C$62+CQ56*$C$63+CR56*$C$64</s:f>
        <s:v>0</s:v>
      </s:c>
      <s:c r="CQ59" s="157"/>
      <s:c r="CR59" s="158"/>
      <s:c r="CS59" s="104"/>
      <s:c r="CT59" s="105"/>
      <s:c r="CU59" s="105"/>
      <s:c r="CV59" s="105"/>
      <s:c r="CW59" s="105"/>
      <s:c r="CX59" s="108" t="s">
        <s:v>37</s:v>
      </s:c>
      <s:c r="CY59" s="113">
        <s:f>SUM(D59:CR59)</s:f>
        <s:v>97200</s:v>
      </s:c>
    </s:row>
    <s:row x14ac:dyDescent="0.3" r="60" spans="1:107" ht="21.6" customHeight="1"/>
    <s:row r="61" ht="21.75">
      <s:c r="B61" s="3" t="s">
        <s:v>22</s:v>
      </s:c>
      <s:c r="C61" s="1" t="s">
        <s:v>21</s:v>
      </s:c>
      <s:c r="D61" s="1" t="s">
        <s:v>20</s:v>
      </s:c>
    </s:row>
    <s:row r="62" ht="21.75">
      <s:c r="B62" s="2" t="s">
        <s:v>14</s:v>
      </s:c>
      <s:c r="C62" s="64">
        <s:v>800</s:v>
      </s:c>
      <s:c r="D62" s="65">
        <s:f>C62*1.22</s:f>
        <s:v>976</s:v>
      </s:c>
      <s:c r="CV62" s="170" t="s">
        <s:v>56</s:v>
      </s:c>
      <s:c r="CW62" s="171"/>
      <s:c r="CX62" s="171"/>
      <s:c r="CY62" s="172"/>
    </s:row>
    <s:row r="63" ht="21.75">
      <s:c r="B63" s="2" t="s">
        <s:v>15</s:v>
      </s:c>
      <s:c r="C63" s="64">
        <s:v>1000</s:v>
      </s:c>
      <s:c r="D63" s="65">
        <s:f>C63*1.22</s:f>
        <s:v>1220</s:v>
      </s:c>
      <s:c r="CV63" s="142" t="s">
        <s:v>83</s:v>
      </s:c>
      <s:c r="CW63" s="143" t="s">
        <s:v>65</s:v>
      </s:c>
      <s:c r="CX63" s="144"/>
      <s:c r="CY63" s="145">
        <s:f>CX57/1.22*0.22+(CX53-CX57/1.22*0.22)*0.15</s:f>
        <s:v>18222.5</s:v>
      </s:c>
    </s:row>
    <s:row r="64" ht="60">
      <s:c r="B64" s="2" t="s">
        <s:v>16</s:v>
      </s:c>
      <s:c r="C64" s="197">
        <s:v>850</s:v>
      </s:c>
      <s:c r="D64" s="65">
        <s:f>C64*1.22</s:f>
        <s:v>1037</s:v>
      </s:c>
      <s:c r="CV64" s="192" t="s">
        <s:v>118</s:v>
      </s:c>
      <s:c r="CW64" s="143" t="s">
        <s:v>65</s:v>
      </s:c>
      <s:c r="CX64" s="144"/>
      <s:c r="CY64" s="145">
        <s:f validation_="true">CW53/1.02*0.02</s:f>
        <s:v>7380.39215686274</s:v>
      </s:c>
    </s:row>
    <s:row r="65">
      <s:c r="CV65" s="142" t="s">
        <s:v>68</s:v>
      </s:c>
      <s:c r="CW65" s="143" t="s">
        <s:v>65</s:v>
      </s:c>
      <s:c r="CX65" s="144"/>
      <s:c r="CY65" s="145">
        <s:f validation_="true">(CW53-CY64)*0.15</s:f>
        <s:v>55352.9411764705</s:v>
      </s:c>
    </s:row>
    <s:row r="66" ht="21.75">
      <s:c r="CV66" s="130" t="s">
        <s:v>57</s:v>
      </s:c>
      <s:c r="CW66" s="141" t="s">
        <s:v>66</s:v>
      </s:c>
      <s:c r="CX66" s="125"/>
      <s:c r="CY66" s="131"/>
    </s:row>
    <s:row r="67" ht="21.75">
      <s:c r="CV67" s="130" t="s">
        <s:v>58</s:v>
      </s:c>
      <s:c r="CW67" s="141" t="s">
        <s:v>66</s:v>
      </s:c>
      <s:c r="CX67" s="125"/>
      <s:c r="CY67" s="131"/>
    </s:row>
    <s:row r="68" ht="21.75">
      <s:c r="C68" s="64" t="s">
        <s:v>19</s:v>
      </s:c>
      <s:c r="CV68" s="130" t="s">
        <s:v>59</s:v>
      </s:c>
      <s:c r="CW68" s="141" t="s">
        <s:v>65</s:v>
      </s:c>
      <s:c r="CX68" s="125"/>
      <s:c r="CY68" s="132"/>
    </s:row>
    <s:row r="69" ht="19.5">
      <s:c r="C69" s="64" t="s">
        <s:v>17</s:v>
      </s:c>
      <s:c r="CV69" s="130" t="s">
        <s:v>62</s:v>
      </s:c>
      <s:c r="CW69" s="141"/>
      <s:c r="CX69" s="125"/>
      <s:c r="CY69" s="132"/>
    </s:row>
    <s:row r="70" ht="21.75">
      <s:c r="C70" s="64" t="s">
        <s:v>18</s:v>
      </s:c>
      <s:c r="CV70" s="130"/>
      <s:c r="CW70" s="141"/>
      <s:c r="CX70" s="125"/>
      <s:c r="CY70" s="132"/>
    </s:row>
    <s:row r="71" ht="21.75">
      <s:c r="C71" s="64" t="s">
        <s:v>28</s:v>
      </s:c>
      <s:c r="CV71" s="134" t="s">
        <s:v>61</s:v>
      </s:c>
      <s:c r="CW71" s="141"/>
      <s:c r="CX71" s="135"/>
      <s:c r="CY71" s="136">
        <s:f>CV53-SUM(CY63:CY70)</s:f>
        <s:v>452729.166666666</s:v>
      </s:c>
    </s:row>
    <s:row r="72" ht="21.75">
      <s:c r="CV72" s="129" t="s">
        <s:v>64</s:v>
      </s:c>
      <s:c r="CW72" s="137"/>
      <s:c r="CX72" s="137"/>
      <s:c r="CY72" s="139">
        <s:f>CY53-SUMIF(CW63:CW70,"наличные",CY63:CY70)</s:f>
        <s:v>97200</s:v>
      </s:c>
    </s:row>
    <s:row r="73">
      <s:c r="CV73" s="133" t="s">
        <s:v>63</s:v>
      </s:c>
      <s:c r="CW73" s="138"/>
      <s:c r="CX73" s="138"/>
      <s:c r="CY73" s="140">
        <s:f>CW53+CX53-SUMIF(CW63:CW70,"безнал",CY63:CY70)</s:f>
        <s:v>355529.166666666</s:v>
      </s:c>
    </s:row>
  </s:sheetData>
  <s:sortState ref="A:A">
    <s:sortCondition descending="1" ref="A:A"/>
  </s:sortState>
  <s:mergeCells count="127">
    <s:mergeCell ref="CV62:CY62"/>
    <s:mergeCell ref="CG2:CI2"/>
    <s:mergeCell ref="CJ2:CL2"/>
    <s:mergeCell ref="CM2:CO2"/>
    <s:mergeCell ref="CP2:CR2"/>
    <s:mergeCell ref="BO2:BQ2"/>
    <s:mergeCell ref="BR2:BT2"/>
    <s:mergeCell ref="BU2:BW2"/>
    <s:mergeCell ref="BX2:BZ2"/>
    <s:mergeCell ref="CA2:CC2"/>
    <s:mergeCell ref="CD2:CF2"/>
    <s:mergeCell ref="CV52:CY52"/>
    <s:mergeCell ref="BX57:BZ57"/>
    <s:mergeCell ref="CA58:CC58"/>
    <s:mergeCell ref="CD58:CF58"/>
    <s:mergeCell ref="CM59:CO59"/>
    <s:mergeCell ref="CP59:CR59"/>
    <s:mergeCell ref="BR59:BT59"/>
    <s:mergeCell ref="BU59:BW59"/>
    <s:mergeCell ref="BX59:BZ59"/>
    <s:mergeCell ref="CA59:CC59"/>
    <s:mergeCell ref="CD59:CF59"/>
    <s:mergeCell ref="CG59:CI59"/>
    <s:mergeCell ref="CJ59:CL59"/>
    <s:mergeCell ref="BL2:BN2"/>
    <s:mergeCell ref="AE2:AG2"/>
    <s:mergeCell ref="AH2:AJ2"/>
    <s:mergeCell ref="AK2:AM2"/>
    <s:mergeCell ref="AN2:AP2"/>
    <s:mergeCell ref="AQ2:AS2"/>
    <s:mergeCell ref="AT2:AV2"/>
    <s:mergeCell ref="AW2:AY2"/>
    <s:mergeCell ref="AZ2:BB2"/>
    <s:mergeCell ref="BC2:BE2"/>
    <s:mergeCell ref="BF2:BH2"/>
    <s:mergeCell ref="BI2:BK2"/>
    <s:mergeCell ref="AY1:BH1"/>
    <s:mergeCell ref="D2:F2"/>
    <s:mergeCell ref="G2:I2"/>
    <s:mergeCell ref="J2:L2"/>
    <s:mergeCell ref="M2:O2"/>
    <s:mergeCell ref="P2:R2"/>
    <s:mergeCell ref="S2:U2"/>
    <s:mergeCell ref="AB2:AD2"/>
    <s:mergeCell ref="Y2:AA2"/>
    <s:mergeCell ref="V2:X2"/>
    <s:mergeCell ref="J57:L57"/>
    <s:mergeCell ref="J58:L58"/>
    <s:mergeCell ref="J59:L59"/>
    <s:mergeCell ref="M57:O57"/>
    <s:mergeCell ref="M58:O58"/>
    <s:mergeCell ref="M59:O59"/>
    <s:mergeCell ref="P57:R57"/>
    <s:mergeCell ref="S57:U57"/>
    <s:mergeCell ref="V57:X57"/>
    <s:mergeCell ref="Y57:AA57"/>
    <s:mergeCell ref="AB57:AD57"/>
    <s:mergeCell ref="AE57:AG57"/>
    <s:mergeCell ref="AH57:AJ57"/>
    <s:mergeCell ref="AK57:AM57"/>
    <s:mergeCell ref="AN57:AP57"/>
    <s:mergeCell ref="CM57:CO57"/>
    <s:mergeCell ref="CP57:CR57"/>
    <s:mergeCell ref="P58:R58"/>
    <s:mergeCell ref="S58:U58"/>
    <s:mergeCell ref="V58:X58"/>
    <s:mergeCell ref="Y58:AA58"/>
    <s:mergeCell ref="AB58:AD58"/>
    <s:mergeCell ref="AE58:AG58"/>
    <s:mergeCell ref="CA57:CC57"/>
    <s:mergeCell ref="CD57:CF57"/>
    <s:mergeCell ref="CG57:CI57"/>
    <s:mergeCell ref="BF57:BH57"/>
    <s:mergeCell ref="BI57:BK57"/>
    <s:mergeCell ref="BL57:BN57"/>
    <s:mergeCell ref="BO57:BQ57"/>
    <s:mergeCell ref="CM58:CO58"/>
    <s:mergeCell ref="CP58:CR58"/>
    <s:mergeCell ref="BU57:BW57"/>
    <s:mergeCell ref="AN59:AP59"/>
    <s:mergeCell ref="AH58:AJ58"/>
    <s:mergeCell ref="AK58:AM58"/>
    <s:mergeCell ref="AN58:AP58"/>
    <s:mergeCell ref="AQ58:AS58"/>
    <s:mergeCell ref="AT58:AV58"/>
    <s:mergeCell ref="AW58:AY58"/>
    <s:mergeCell ref="AZ58:BB58"/>
    <s:mergeCell ref="BO59:BQ59"/>
    <s:mergeCell ref="AZ59:BB59"/>
    <s:mergeCell ref="BC59:BE59"/>
    <s:mergeCell ref="BF59:BH59"/>
    <s:mergeCell ref="BI59:BK59"/>
    <s:mergeCell ref="BL59:BN59"/>
    <s:mergeCell ref="D57:F57"/>
    <s:mergeCell ref="G57:I57"/>
    <s:mergeCell ref="D58:F58"/>
    <s:mergeCell ref="G58:I58"/>
    <s:mergeCell ref="D59:F59"/>
    <s:mergeCell ref="G59:I59"/>
    <s:mergeCell ref="AQ59:AS59"/>
    <s:mergeCell ref="AT59:AV59"/>
    <s:mergeCell ref="AW59:AY59"/>
    <s:mergeCell ref="BC58:BE58"/>
    <s:mergeCell ref="BF58:BH58"/>
    <s:mergeCell ref="BI58:BK58"/>
    <s:mergeCell ref="BL58:BN58"/>
    <s:mergeCell ref="P59:R59"/>
    <s:mergeCell ref="S59:U59"/>
    <s:mergeCell ref="V59:X59"/>
    <s:mergeCell ref="Y59:AA59"/>
    <s:mergeCell ref="AB59:AD59"/>
    <s:mergeCell ref="AE59:AG59"/>
    <s:mergeCell ref="AH59:AJ59"/>
    <s:mergeCell ref="AK59:AM59"/>
    <s:mergeCell ref="CG58:CI58"/>
    <s:mergeCell ref="CJ58:CL58"/>
    <s:mergeCell ref="CJ57:CL57"/>
    <s:mergeCell ref="BR57:BT57"/>
    <s:mergeCell ref="AQ57:AS57"/>
    <s:mergeCell ref="AT57:AV57"/>
    <s:mergeCell ref="AW57:AY57"/>
    <s:mergeCell ref="AZ57:BB57"/>
    <s:mergeCell ref="BC57:BE57"/>
    <s:mergeCell ref="BR58:BT58"/>
    <s:mergeCell ref="BU58:BW58"/>
    <s:mergeCell ref="BX58:BZ58"/>
    <s:mergeCell ref="BO58:BQ58"/>
  </s:mergeCells>
  <s:phoneticPr fontId="16" type="noConversion"/>
  <s:conditionalFormatting sqref="B4:C51">
    <s:cfRule type="containsBlanks" dxfId="170" priority="7" stopIfTrue="0">
      <s:formula>LEN(TRIM(B4))=0</s:formula>
    </s:cfRule>
  </s:conditionalFormatting>
  <s:conditionalFormatting sqref="B36:C36">
    <s:cfRule type="expression" dxfId="86" priority="24">
      <s:formula>$CZ36=$DE$4</s:formula>
    </s:cfRule>
    <s:cfRule type="expression" dxfId="85" priority="25">
      <s:formula>$CZ36=$DE$5</s:formula>
    </s:cfRule>
    <s:cfRule type="expression" dxfId="84" priority="26">
      <s:formula>$CZ36=$DE$6</s:formula>
    </s:cfRule>
  </s:conditionalFormatting>
  <s:conditionalFormatting sqref="D2 G2 J2 M2 P2 S2 V2 Y2 AB2 AE2 AH2 AK2 AN2 AQ2 AT2 AW2 AZ2 BC2 BF2 BI2 BL2 BO2 BR2 BU2 BX2 CA2 CD2 CG2 CJ2 CM2 CP2">
    <s:cfRule type="timePeriod" dxfId="83" priority="12" timePeriod="today">
      <s:formula>FLOOR(D2,1)=TODAY()</s:formula>
    </s:cfRule>
  </s:conditionalFormatting>
  <s:conditionalFormatting sqref="F4:CR34 F35:BE35 BJ35:CR35 F36:CR51">
    <s:cfRule type="cellIs" dxfId="172" priority="3" stopIfTrue="0" operator="equal">
      <s:formula>0</s:formula>
    </s:cfRule>
  </s:conditionalFormatting>
  <s:conditionalFormatting sqref="H4:H35">
    <s:cfRule type="expression" dxfId="80" priority="74">
      <s:formula>AND(COLUMN()&gt;COLUMN($F$4),C4&lt;&gt;"",H4&gt;C4)</s:formula>
    </s:cfRule>
    <s:cfRule type="expression" dxfId="79" priority="76">
      <s:formula>AND(COLUMN()&gt;COLUMN($F$4),C4&lt;&gt;"",H4&lt;C4)</s:formula>
    </s:cfRule>
  </s:conditionalFormatting>
  <s:conditionalFormatting sqref="I3 L3 O3 R3 U3 X3 AA3 AD3 AG3 AJ3 AM3 AP3 AS3 AV3 AY3 BB3 BE3 BH3 BK3 BN3 BQ3 BT3 BW3 BZ3 CC3 CF3 CI3 CL3 CO3 CR3">
    <s:cfRule type="timePeriod" dxfId="78" priority="2" timePeriod="today">
      <s:formula>FLOOR(I3,1)=TODAY()</s:formula>
    </s:cfRule>
  </s:conditionalFormatting>
  <s:conditionalFormatting sqref="I52 L52 O52 R52 U52 X52 AA52 AD52 AG52 AJ52 AM52 AP52 AS52 AV52 AY52 BB52 BE52 BH52 BK52 BN52 BQ52 BT52 BW52 BZ52 CC52 CF52 CI52 CL52 CO52 CR52">
    <s:cfRule type="timePeriod" dxfId="171" priority="1" stopIfTrue="0" timePeriod="today">
      <s:formula>FLOOR(I52,1)=TODAY()</s:formula>
    </s:cfRule>
  </s:conditionalFormatting>
  <s:conditionalFormatting sqref="I4:J35">
    <s:cfRule type="expression" dxfId="76" priority="90">
      <s:formula>AND(COLUMN()&gt;COLUMN($F$4),C4&lt;&gt;"",I4&gt;C4)</s:formula>
    </s:cfRule>
    <s:cfRule type="expression" dxfId="75" priority="91">
      <s:formula>AND(COLUMN()&gt;COLUMN($F$4),C4&lt;&gt;"",I4&lt;C4)</s:formula>
    </s:cfRule>
  </s:conditionalFormatting>
  <s:conditionalFormatting sqref="K4:K35">
    <s:cfRule type="expression" dxfId="74" priority="102">
      <s:formula>AND(COLUMN()&gt;COLUMN($F$4),D4&lt;&gt;"",K4&gt;D4)</s:formula>
    </s:cfRule>
    <s:cfRule type="expression" dxfId="73" priority="104">
      <s:formula>AND(COLUMN()&gt;COLUMN($F$4),D4&lt;&gt;"",K4&lt;D4)</s:formula>
    </s:cfRule>
  </s:conditionalFormatting>
  <s:conditionalFormatting sqref="L4:M35">
    <s:cfRule type="expression" dxfId="72" priority="118">
      <s:formula>AND(COLUMN()&gt;COLUMN($F$4),D4&lt;&gt;"",L4&gt;D4)</s:formula>
    </s:cfRule>
    <s:cfRule type="expression" dxfId="71" priority="119">
      <s:formula>AND(COLUMN()&gt;COLUMN($F$4),D4&lt;&gt;"",L4&lt;D4)</s:formula>
    </s:cfRule>
  </s:conditionalFormatting>
  <s:conditionalFormatting sqref="N4:N35">
    <s:cfRule type="expression" dxfId="70" priority="130">
      <s:formula>AND(COLUMN()&gt;COLUMN($F$4),E4&lt;&gt;"",N4&gt;E4)</s:formula>
    </s:cfRule>
    <s:cfRule type="expression" dxfId="69" priority="132">
      <s:formula>AND(COLUMN()&gt;COLUMN($F$4),E4&lt;&gt;"",N4&lt;E4)</s:formula>
    </s:cfRule>
  </s:conditionalFormatting>
  <s:conditionalFormatting sqref="O4:P35">
    <s:cfRule type="expression" dxfId="68" priority="146">
      <s:formula>AND(COLUMN()&gt;COLUMN($F$4),E4&lt;&gt;"",O4&gt;E4)</s:formula>
    </s:cfRule>
    <s:cfRule type="expression" dxfId="67" priority="147">
      <s:formula>AND(COLUMN()&gt;COLUMN($F$4),E4&lt;&gt;"",O4&lt;E4)</s:formula>
    </s:cfRule>
  </s:conditionalFormatting>
  <s:conditionalFormatting sqref="Q4:Q35">
    <s:cfRule type="expression" dxfId="66" priority="158">
      <s:formula>AND(COLUMN()&gt;COLUMN($F$4),F4&lt;&gt;"",Q4&gt;F4)</s:formula>
    </s:cfRule>
    <s:cfRule type="expression" dxfId="65" priority="160">
      <s:formula>AND(COLUMN()&gt;COLUMN($F$4),F4&lt;&gt;"",Q4&lt;F4)</s:formula>
    </s:cfRule>
  </s:conditionalFormatting>
  <s:conditionalFormatting sqref="R4:S35">
    <s:cfRule type="expression" dxfId="64" priority="174">
      <s:formula>AND(COLUMN()&gt;COLUMN($F$4),F4&lt;&gt;"",R4&gt;F4)</s:formula>
    </s:cfRule>
    <s:cfRule type="expression" dxfId="63" priority="175">
      <s:formula>AND(COLUMN()&gt;COLUMN($F$4),F4&lt;&gt;"",R4&lt;F4)</s:formula>
    </s:cfRule>
  </s:conditionalFormatting>
  <s:conditionalFormatting sqref="T4:T35">
    <s:cfRule type="expression" dxfId="62" priority="186">
      <s:formula>AND(COLUMN()&gt;COLUMN($F$4),G4&lt;&gt;"",T4&gt;G4)</s:formula>
    </s:cfRule>
    <s:cfRule type="expression" dxfId="61" priority="188">
      <s:formula>AND(COLUMN()&gt;COLUMN($F$4),G4&lt;&gt;"",T4&lt;G4)</s:formula>
    </s:cfRule>
  </s:conditionalFormatting>
  <s:conditionalFormatting sqref="U4:V35">
    <s:cfRule type="expression" dxfId="60" priority="202">
      <s:formula>AND(COLUMN()&gt;COLUMN($F$4),G4&lt;&gt;"",U4&gt;G4)</s:formula>
    </s:cfRule>
    <s:cfRule type="expression" dxfId="59" priority="203">
      <s:formula>AND(COLUMN()&gt;COLUMN($F$4),G4&lt;&gt;"",U4&lt;G4)</s:formula>
    </s:cfRule>
  </s:conditionalFormatting>
  <s:conditionalFormatting sqref="W4:W35">
    <s:cfRule type="expression" dxfId="58" priority="214">
      <s:formula>AND(COLUMN()&gt;COLUMN($F$4),H4&lt;&gt;"",W4&gt;H4)</s:formula>
    </s:cfRule>
    <s:cfRule type="expression" dxfId="57" priority="216">
      <s:formula>AND(COLUMN()&gt;COLUMN($F$4),H4&lt;&gt;"",W4&lt;H4)</s:formula>
    </s:cfRule>
  </s:conditionalFormatting>
  <s:conditionalFormatting sqref="X4:Y35">
    <s:cfRule type="expression" dxfId="56" priority="230">
      <s:formula>AND(COLUMN()&gt;COLUMN($F$4),H4&lt;&gt;"",X4&gt;H4)</s:formula>
    </s:cfRule>
    <s:cfRule type="expression" dxfId="55" priority="231">
      <s:formula>AND(COLUMN()&gt;COLUMN($F$4),H4&lt;&gt;"",X4&lt;H4)</s:formula>
    </s:cfRule>
  </s:conditionalFormatting>
  <s:conditionalFormatting sqref="Z4:Z35">
    <s:cfRule type="expression" dxfId="54" priority="242">
      <s:formula>AND(COLUMN()&gt;COLUMN($F$4),I4&lt;&gt;"",Z4&gt;I4)</s:formula>
    </s:cfRule>
    <s:cfRule type="expression" dxfId="53" priority="244">
      <s:formula>AND(COLUMN()&gt;COLUMN($F$4),I4&lt;&gt;"",Z4&lt;I4)</s:formula>
    </s:cfRule>
  </s:conditionalFormatting>
  <s:conditionalFormatting sqref="AA4:AB35">
    <s:cfRule type="expression" dxfId="52" priority="258">
      <s:formula>AND(COLUMN()&gt;COLUMN($F$4),I4&lt;&gt;"",AA4&gt;I4)</s:formula>
    </s:cfRule>
    <s:cfRule type="expression" dxfId="51" priority="259">
      <s:formula>AND(COLUMN()&gt;COLUMN($F$4),I4&lt;&gt;"",AA4&lt;I4)</s:formula>
    </s:cfRule>
  </s:conditionalFormatting>
  <s:conditionalFormatting sqref="AC4:AC35">
    <s:cfRule type="expression" dxfId="50" priority="270">
      <s:formula>AND(COLUMN()&gt;COLUMN($F$4),J4&lt;&gt;"",AC4&gt;J4)</s:formula>
    </s:cfRule>
    <s:cfRule type="expression" dxfId="49" priority="272">
      <s:formula>AND(COLUMN()&gt;COLUMN($F$4),J4&lt;&gt;"",AC4&lt;J4)</s:formula>
    </s:cfRule>
  </s:conditionalFormatting>
  <s:conditionalFormatting sqref="AD4:AF35">
    <s:cfRule type="expression" dxfId="48" priority="286">
      <s:formula>AND(COLUMN()&gt;COLUMN($F$4),J4&lt;&gt;"",AD4&gt;J4)</s:formula>
    </s:cfRule>
    <s:cfRule type="expression" dxfId="47" priority="287">
      <s:formula>AND(COLUMN()&gt;COLUMN($F$4),J4&lt;&gt;"",AD4&lt;J4)</s:formula>
    </s:cfRule>
  </s:conditionalFormatting>
  <s:conditionalFormatting sqref="AG4:AI35">
    <s:cfRule type="expression" dxfId="46" priority="298">
      <s:formula>AND(COLUMN()&gt;COLUMN($F$4),K4&lt;&gt;"",AG4&gt;K4)</s:formula>
    </s:cfRule>
    <s:cfRule type="expression" dxfId="45" priority="300">
      <s:formula>AND(COLUMN()&gt;COLUMN($F$4),K4&lt;&gt;"",AG4&lt;K4)</s:formula>
    </s:cfRule>
  </s:conditionalFormatting>
  <s:conditionalFormatting sqref="AJ4:AL35">
    <s:cfRule type="expression" dxfId="44" priority="311">
      <s:formula>AND(COLUMN()&gt;COLUMN($F$4),L4&lt;&gt;"",AJ4&gt;L4)</s:formula>
    </s:cfRule>
    <s:cfRule type="expression" dxfId="43" priority="313">
      <s:formula>AND(COLUMN()&gt;COLUMN($F$4),L4&lt;&gt;"",AJ4&lt;L4)</s:formula>
    </s:cfRule>
  </s:conditionalFormatting>
  <s:conditionalFormatting sqref="AM4:AO35">
    <s:cfRule type="expression" dxfId="42" priority="324">
      <s:formula>AND(COLUMN()&gt;COLUMN($F$4),M4&lt;&gt;"",AM4&gt;M4)</s:formula>
    </s:cfRule>
    <s:cfRule type="expression" dxfId="41" priority="326">
      <s:formula>AND(COLUMN()&gt;COLUMN($F$4),M4&lt;&gt;"",AM4&lt;M4)</s:formula>
    </s:cfRule>
  </s:conditionalFormatting>
  <s:conditionalFormatting sqref="AP4:AR35">
    <s:cfRule type="expression" dxfId="40" priority="337">
      <s:formula>AND(COLUMN()&gt;COLUMN($F$4),N4&lt;&gt;"",AP4&gt;N4)</s:formula>
    </s:cfRule>
    <s:cfRule type="expression" dxfId="39" priority="339">
      <s:formula>AND(COLUMN()&gt;COLUMN($F$4),N4&lt;&gt;"",AP4&lt;N4)</s:formula>
    </s:cfRule>
  </s:conditionalFormatting>
  <s:conditionalFormatting sqref="AS4:AU35">
    <s:cfRule type="expression" dxfId="38" priority="350">
      <s:formula>AND(COLUMN()&gt;COLUMN($F$4),O4&lt;&gt;"",AS4&gt;O4)</s:formula>
    </s:cfRule>
    <s:cfRule type="expression" dxfId="37" priority="352">
      <s:formula>AND(COLUMN()&gt;COLUMN($F$4),O4&lt;&gt;"",AS4&lt;O4)</s:formula>
    </s:cfRule>
  </s:conditionalFormatting>
  <s:conditionalFormatting sqref="AV4:AX35">
    <s:cfRule type="expression" dxfId="36" priority="363">
      <s:formula>AND(COLUMN()&gt;COLUMN($F$4),P4&lt;&gt;"",AV4&gt;P4)</s:formula>
    </s:cfRule>
    <s:cfRule type="expression" dxfId="35" priority="365">
      <s:formula>AND(COLUMN()&gt;COLUMN($F$4),P4&lt;&gt;"",AV4&lt;P4)</s:formula>
    </s:cfRule>
  </s:conditionalFormatting>
  <s:conditionalFormatting sqref="AY4:BA35">
    <s:cfRule type="expression" dxfId="34" priority="376">
      <s:formula>AND(COLUMN()&gt;COLUMN($F$4),Q4&lt;&gt;"",AY4&gt;Q4)</s:formula>
    </s:cfRule>
    <s:cfRule type="expression" dxfId="33" priority="378">
      <s:formula>AND(COLUMN()&gt;COLUMN($F$4),Q4&lt;&gt;"",AY4&lt;Q4)</s:formula>
    </s:cfRule>
  </s:conditionalFormatting>
  <s:conditionalFormatting sqref="BB4:BD35">
    <s:cfRule type="expression" dxfId="32" priority="389">
      <s:formula>AND(COLUMN()&gt;COLUMN($F$4),R4&lt;&gt;"",BB4&gt;R4)</s:formula>
    </s:cfRule>
    <s:cfRule type="expression" dxfId="31" priority="391">
      <s:formula>AND(COLUMN()&gt;COLUMN($F$4),R4&lt;&gt;"",BB4&lt;R4)</s:formula>
    </s:cfRule>
  </s:conditionalFormatting>
  <s:conditionalFormatting sqref="BE4:BG35">
    <s:cfRule type="expression" dxfId="30" priority="402">
      <s:formula>AND(COLUMN()&gt;COLUMN($F$4),S4&lt;&gt;"",BE4&gt;S4)</s:formula>
    </s:cfRule>
    <s:cfRule type="expression" dxfId="29" priority="404">
      <s:formula>AND(COLUMN()&gt;COLUMN($F$4),S4&lt;&gt;"",BE4&lt;S4)</s:formula>
    </s:cfRule>
  </s:conditionalFormatting>
  <s:conditionalFormatting sqref="BH4:BJ35">
    <s:cfRule type="expression" dxfId="28" priority="415">
      <s:formula>AND(COLUMN()&gt;COLUMN($F$4),T4&lt;&gt;"",BH4&gt;T4)</s:formula>
    </s:cfRule>
    <s:cfRule type="expression" dxfId="27" priority="417">
      <s:formula>AND(COLUMN()&gt;COLUMN($F$4),T4&lt;&gt;"",BH4&lt;T4)</s:formula>
    </s:cfRule>
  </s:conditionalFormatting>
  <s:conditionalFormatting sqref="BK4:BM35">
    <s:cfRule type="expression" dxfId="26" priority="428">
      <s:formula>AND(COLUMN()&gt;COLUMN($F$4),U4&lt;&gt;"",BK4&gt;U4)</s:formula>
    </s:cfRule>
    <s:cfRule type="expression" dxfId="25" priority="430">
      <s:formula>AND(COLUMN()&gt;COLUMN($F$4),U4&lt;&gt;"",BK4&lt;U4)</s:formula>
    </s:cfRule>
  </s:conditionalFormatting>
  <s:conditionalFormatting sqref="BN4:BP35">
    <s:cfRule type="expression" dxfId="24" priority="441">
      <s:formula>AND(COLUMN()&gt;COLUMN($F$4),V4&lt;&gt;"",BN4&gt;V4)</s:formula>
    </s:cfRule>
    <s:cfRule type="expression" dxfId="23" priority="443">
      <s:formula>AND(COLUMN()&gt;COLUMN($F$4),V4&lt;&gt;"",BN4&lt;V4)</s:formula>
    </s:cfRule>
  </s:conditionalFormatting>
  <s:conditionalFormatting sqref="BQ4:BS35">
    <s:cfRule type="expression" dxfId="22" priority="454">
      <s:formula>AND(COLUMN()&gt;COLUMN($F$4),W4&lt;&gt;"",BQ4&gt;W4)</s:formula>
    </s:cfRule>
    <s:cfRule type="expression" dxfId="21" priority="456">
      <s:formula>AND(COLUMN()&gt;COLUMN($F$4),W4&lt;&gt;"",BQ4&lt;W4)</s:formula>
    </s:cfRule>
  </s:conditionalFormatting>
  <s:conditionalFormatting sqref="BT4:BV35">
    <s:cfRule type="expression" dxfId="20" priority="467">
      <s:formula>AND(COLUMN()&gt;COLUMN($F$4),X4&lt;&gt;"",BT4&gt;X4)</s:formula>
    </s:cfRule>
    <s:cfRule type="expression" dxfId="19" priority="469">
      <s:formula>AND(COLUMN()&gt;COLUMN($F$4),X4&lt;&gt;"",BT4&lt;X4)</s:formula>
    </s:cfRule>
  </s:conditionalFormatting>
  <s:conditionalFormatting sqref="BW4:BY35">
    <s:cfRule type="expression" dxfId="18" priority="480">
      <s:formula>AND(COLUMN()&gt;COLUMN($F$4),Y4&lt;&gt;"",BW4&gt;Y4)</s:formula>
    </s:cfRule>
    <s:cfRule type="expression" dxfId="17" priority="482">
      <s:formula>AND(COLUMN()&gt;COLUMN($F$4),Y4&lt;&gt;"",BW4&lt;Y4)</s:formula>
    </s:cfRule>
  </s:conditionalFormatting>
  <s:conditionalFormatting sqref="BZ4:CB35">
    <s:cfRule type="expression" dxfId="16" priority="493">
      <s:formula>AND(COLUMN()&gt;COLUMN($F$4),Z4&lt;&gt;"",BZ4&gt;Z4)</s:formula>
    </s:cfRule>
    <s:cfRule type="expression" dxfId="15" priority="495">
      <s:formula>AND(COLUMN()&gt;COLUMN($F$4),Z4&lt;&gt;"",BZ4&lt;Z4)</s:formula>
    </s:cfRule>
  </s:conditionalFormatting>
  <s:conditionalFormatting sqref="CC4:CE35">
    <s:cfRule type="expression" dxfId="14" priority="506">
      <s:formula>AND(COLUMN()&gt;COLUMN($F$4),AA4&lt;&gt;"",CC4&gt;AA4)</s:formula>
    </s:cfRule>
    <s:cfRule type="expression" dxfId="13" priority="508">
      <s:formula>AND(COLUMN()&gt;COLUMN($F$4),AA4&lt;&gt;"",CC4&lt;AA4)</s:formula>
    </s:cfRule>
  </s:conditionalFormatting>
  <s:conditionalFormatting sqref="CF4:CH35">
    <s:cfRule type="expression" dxfId="12" priority="519">
      <s:formula>AND(COLUMN()&gt;COLUMN($F$4),AB4&lt;&gt;"",CF4&gt;AB4)</s:formula>
    </s:cfRule>
    <s:cfRule type="expression" dxfId="11" priority="521">
      <s:formula>AND(COLUMN()&gt;COLUMN($F$4),AB4&lt;&gt;"",CF4&lt;AB4)</s:formula>
    </s:cfRule>
  </s:conditionalFormatting>
  <s:conditionalFormatting sqref="CI4:CK35">
    <s:cfRule type="expression" dxfId="10" priority="532">
      <s:formula>AND(COLUMN()&gt;COLUMN($F$4),AC4&lt;&gt;"",CI4&gt;AC4)</s:formula>
    </s:cfRule>
    <s:cfRule type="expression" dxfId="9" priority="534">
      <s:formula>AND(COLUMN()&gt;COLUMN($F$4),AC4&lt;&gt;"",CI4&lt;AC4)</s:formula>
    </s:cfRule>
  </s:conditionalFormatting>
  <s:conditionalFormatting sqref="CL4:CN35">
    <s:cfRule type="expression" dxfId="8" priority="545">
      <s:formula>AND(COLUMN()&gt;COLUMN($F$4),AD4&lt;&gt;"",CL4&gt;AD4)</s:formula>
    </s:cfRule>
    <s:cfRule type="expression" dxfId="7" priority="547">
      <s:formula>AND(COLUMN()&gt;COLUMN($F$4),AD4&lt;&gt;"",CL4&lt;AD4)</s:formula>
    </s:cfRule>
  </s:conditionalFormatting>
  <s:conditionalFormatting sqref="CO4:CQ35">
    <s:cfRule type="expression" dxfId="6" priority="558">
      <s:formula>AND(COLUMN()&gt;COLUMN($F$4),AE4&lt;&gt;"",CO4&gt;AE4)</s:formula>
    </s:cfRule>
    <s:cfRule type="expression" dxfId="5" priority="560">
      <s:formula>AND(COLUMN()&gt;COLUMN($F$4),AE4&lt;&gt;"",CO4&lt;AE4)</s:formula>
    </s:cfRule>
  </s:conditionalFormatting>
  <s:conditionalFormatting sqref="CR4:CR35">
    <s:cfRule type="expression" dxfId="4" priority="571">
      <s:formula>AND(COLUMN()&gt;COLUMN($F$4),AF4&lt;&gt;"",CR4&gt;AF4)</s:formula>
    </s:cfRule>
    <s:cfRule type="expression" dxfId="3" priority="573">
      <s:formula>AND(COLUMN()&gt;COLUMN($F$4),AF4&lt;&gt;"",CR4&lt;AF4)</s:formula>
    </s:cfRule>
  </s:conditionalFormatting>
  <s:conditionalFormatting sqref="F4:CR34 F35:BE35 BJ35:CR35 F36:CR40">
    <s:cfRule type="containsBlanks" dxfId="172" priority="4" stopIfTrue="0">
      <s:formula>LEN(TRIM(F4))=0</s:formula>
    </s:cfRule>
  </s:conditionalFormatting>
  <s:dataValidations disablePrompts="1" count="2">
    <s:dataValidation type="list" allowBlank="1" showInputMessage="1" showErrorMessage="1" sqref="C4:C51" vyd:viewType="arrow" mc:Ignorable="vyd">
      <s:formula1>'Февраль 26'!$C$53:$C$55</s:formula1>
    </s:dataValidation>
    <s:dataValidation type="list" allowBlank="1" showInputMessage="1" showErrorMessage="1" sqref="CW63:CW70" vyd:viewType="arrow" mc:Ignorable="vyd">
      <s:formula1>"безнал,наличные"</s:formula1>
    </s:dataValidation>
  </s:dataValidations>
  <s:pageMargins left="0.7" right="0.7" top="0.75" bottom="0.75" header="0.3" footer="0.3"/>
  <s:pageSetup paperSize="9" orientation="portrait" r:id="rId1"/>
  <s:legacyDrawing r:id="rId2"/>
</s:worksheet>
</file>

<file path=xl/worksheets/sheet6.xml><?xml version="1.0" encoding="utf-8"?>
<s:worksheet xmlns:s="http://schemas.openxmlformats.org/spreadsheetml/2006/main" xmlns:r="http://schemas.openxmlformats.org/officeDocument/2006/relationships" xmlns:vyd="http://volga.yandex.com/schemas/document/model" xmlns:mc="http://schemas.openxmlformats.org/markup-compatibility/2006" xmlns:x14ac="http://schemas.microsoft.com/office/spreadsheetml/2009/9/ac">
  <s:dimension ref="A1:DC56"/>
  <s:sheetViews>
    <s:sheetView tabSelected="0" zoomScale="50" zoomScaleNormal="50" workbookViewId="0">
      <s:pane xSplit="3" topLeftCell="D1" activePane="topRight" state="frozen"/>
      <s:selection pane="topRight" activeCell="CH45" sqref="CH45"/>
    </s:sheetView>
  </s:sheetViews>
  <s:sheetFormatPr x14ac:dyDescent="0.3" defaultColWidth="10" defaultRowHeight="14.4"/>
  <s:cols>
    <s:col min="1" max="1" width="8.07" bestFit="1" customWidth="1"/>
    <s:col min="2" max="2" width="45.441" customWidth="1"/>
    <s:col min="3" max="3" width="15.332" style="4" customWidth="1"/>
    <s:col min="4" max="4" width="7.887" style="4" customWidth="1"/>
    <s:col min="5" max="96" width="6.441" style="4" customWidth="1"/>
    <s:col min="97" max="97" width="10.109" style="4" bestFit="1" customWidth="1"/>
    <s:col min="98" max="99" width="11" style="4" customWidth="1"/>
    <s:col min="100" max="100" width="19.887" style="4" customWidth="1"/>
    <s:col min="101" max="101" width="19.664" style="4" bestFit="1" customWidth="1"/>
    <s:col min="102" max="102" width="17.664" style="4" customWidth="1"/>
    <s:col min="103" max="103" width="19.109" customWidth="1"/>
    <s:col min="104" max="104" width="12.664" customWidth="1"/>
    <s:col min="106" max="107" width="10.332" bestFit="1" customWidth="1"/>
  </s:cols>
  <s:sheetData>
    <s:row r="1" ht="29.25">
      <s:c r="A1" s="5" t="s">
        <s:v>0</s:v>
      </s:c>
      <s:c r="B1" s="66" t="s">
        <s:v>27</s:v>
      </s:c>
      <s:c r="C1" s="6"/>
      <s:c r="D1" s="123" t="s">
        <s:v>53</s:v>
      </s:c>
      <s:c r="E1" s="6"/>
      <s:c r="F1" s="57"/>
      <s:c r="G1" s="123" t="s">
        <s:v>54</s:v>
      </s:c>
      <s:c r="H1" s="57"/>
      <s:c r="I1" s="57"/>
      <s:c r="J1" s="123" t="s">
        <s:v>55</s:v>
      </s:c>
      <s:c r="K1" s="57"/>
      <s:c r="L1" s="57"/>
      <s:c r="M1" s="57"/>
      <s:c r="N1" s="57"/>
      <s:c r="O1" s="57"/>
      <s:c r="P1" s="57"/>
      <s:c r="Q1" s="57"/>
      <s:c r="R1" s="57"/>
      <s:c r="S1" s="57"/>
      <s:c r="T1" s="57"/>
      <s:c r="U1" s="57"/>
      <s:c r="V1" s="57"/>
      <s:c r="W1" s="57"/>
      <s:c r="X1" s="57"/>
      <s:c r="Y1" s="57"/>
      <s:c r="Z1" s="57"/>
      <s:c r="AA1" s="57"/>
      <s:c r="AB1" s="57"/>
      <s:c r="AC1" s="57"/>
      <s:c r="AD1" s="57"/>
      <s:c r="AE1" s="57"/>
      <s:c r="AF1" s="57"/>
      <s:c r="AG1" s="58"/>
      <s:c r="AH1" s="58"/>
      <s:c r="AI1" s="58"/>
      <s:c r="AJ1" s="57"/>
      <s:c r="AK1" s="57"/>
      <s:c r="AL1" s="57"/>
      <s:c r="AM1" s="57"/>
      <s:c r="AN1" s="57"/>
      <s:c r="AO1" s="57"/>
      <s:c r="AP1" s="57"/>
      <s:c r="AQ1" s="57"/>
      <s:c r="AR1" s="57"/>
      <s:c r="AS1" s="57" t="s">
        <s:v>1</s:v>
      </s:c>
      <s:c r="AT1" s="57"/>
      <s:c r="AU1" s="57"/>
      <s:c r="AV1" s="57"/>
      <s:c r="AW1" s="57"/>
      <s:c r="AX1" s="57"/>
      <s:c r="AY1" s="164">
        <s:v>46082</s:v>
      </s:c>
      <s:c r="AZ1" s="164"/>
      <s:c r="BA1" s="164"/>
      <s:c r="BB1" s="164"/>
      <s:c r="BC1" s="164"/>
      <s:c r="BD1" s="164"/>
      <s:c r="BE1" s="164"/>
      <s:c r="BF1" s="164"/>
      <s:c r="BG1" s="164"/>
      <s:c r="BH1" s="164"/>
      <s:c r="BI1" s="59"/>
      <s:c r="BJ1" s="59"/>
      <s:c r="BK1" s="57"/>
      <s:c r="BL1" s="57"/>
      <s:c r="BM1" s="57"/>
      <s:c r="BN1" s="57"/>
      <s:c r="BO1" s="57"/>
      <s:c r="BP1" s="57"/>
      <s:c r="BQ1" s="57"/>
      <s:c r="BR1" s="57"/>
      <s:c r="BS1" s="57"/>
      <s:c r="BT1" s="57"/>
      <s:c r="BU1" s="57"/>
      <s:c r="BV1" s="57"/>
      <s:c r="BW1" s="57"/>
      <s:c r="BX1" s="57"/>
      <s:c r="BY1" s="57"/>
      <s:c r="BZ1" s="57"/>
      <s:c r="CA1" s="57"/>
      <s:c r="CB1" s="57"/>
      <s:c r="CC1" s="57"/>
      <s:c r="CD1" s="57"/>
      <s:c r="CE1" s="57"/>
      <s:c r="CF1" s="57"/>
      <s:c r="CG1" s="57"/>
      <s:c r="CH1" s="57"/>
      <s:c r="CI1" s="57"/>
      <s:c r="CJ1" s="57"/>
      <s:c r="CK1" s="57"/>
      <s:c r="CL1" s="57"/>
      <s:c r="CM1" s="57"/>
      <s:c r="CN1" s="57"/>
      <s:c r="CO1" s="57"/>
      <s:c r="CP1" s="57"/>
      <s:c r="CQ1" s="57"/>
      <s:c r="CR1" s="57"/>
      <s:c r="CS1" s="57"/>
      <s:c r="CT1" s="57"/>
      <s:c r="CU1" s="57"/>
      <s:c r="CV1" s="60"/>
      <s:c r="CW1" s="61"/>
      <s:c r="CX1" s="61"/>
    </s:row>
    <s:row r="2" ht="79.5">
      <s:c r="A2" s="7" t="s">
        <s:v>91</s:v>
      </s:c>
      <s:c r="B2" s="8" t="s">
        <s:v>4</s:v>
      </s:c>
      <s:c r="C2" s="126" t="s">
        <s:v>9</s:v>
      </s:c>
      <s:c r="D2" s="165">
        <s:f>IF(AY1&lt;&gt;0,AY1,"")</s:f>
        <s:v>46082</s:v>
      </s:c>
      <s:c r="E2" s="166"/>
      <s:c r="F2" s="167"/>
      <s:c r="G2" s="168">
        <s:f>IF(D2="","",D2+1)</s:f>
        <s:v>46083</s:v>
      </s:c>
      <s:c r="H2" s="166"/>
      <s:c r="I2" s="169"/>
      <s:c r="J2" s="165">
        <s:f>IF(G2="","",G2+1)</s:f>
        <s:v>46084</s:v>
      </s:c>
      <s:c r="K2" s="166"/>
      <s:c r="L2" s="167"/>
      <s:c r="M2" s="168">
        <s:f>IF(J2="","",J2+1)</s:f>
        <s:v>46085</s:v>
      </s:c>
      <s:c r="N2" s="166"/>
      <s:c r="O2" s="169"/>
      <s:c r="P2" s="165">
        <s:f>IF(M2="","",M2+1)</s:f>
        <s:v>46086</s:v>
      </s:c>
      <s:c r="Q2" s="166"/>
      <s:c r="R2" s="167"/>
      <s:c r="S2" s="168">
        <s:f>IF(P2="","",P2+1)</s:f>
        <s:v>46087</s:v>
      </s:c>
      <s:c r="T2" s="166"/>
      <s:c r="U2" s="169"/>
      <s:c r="V2" s="165">
        <s:f>IF(S2="","",S2+1)</s:f>
        <s:v>46088</s:v>
      </s:c>
      <s:c r="W2" s="166"/>
      <s:c r="X2" s="167"/>
      <s:c r="Y2" s="168">
        <s:f>IF(V2="","",V2+1)</s:f>
        <s:v>46089</s:v>
      </s:c>
      <s:c r="Z2" s="166"/>
      <s:c r="AA2" s="169"/>
      <s:c r="AB2" s="165">
        <s:f>IF(Y2="","",Y2+1)</s:f>
        <s:v>46090</s:v>
      </s:c>
      <s:c r="AC2" s="166"/>
      <s:c r="AD2" s="167"/>
      <s:c r="AE2" s="168">
        <s:f>IF(AB2="","",AB2+1)</s:f>
        <s:v>46091</s:v>
      </s:c>
      <s:c r="AF2" s="166"/>
      <s:c r="AG2" s="169"/>
      <s:c r="AH2" s="165">
        <s:f>IF(AE2="","",AE2+1)</s:f>
        <s:v>46092</s:v>
      </s:c>
      <s:c r="AI2" s="166"/>
      <s:c r="AJ2" s="167"/>
      <s:c r="AK2" s="168">
        <s:f>IF(AH2="","",AH2+1)</s:f>
        <s:v>46093</s:v>
      </s:c>
      <s:c r="AL2" s="166"/>
      <s:c r="AM2" s="169"/>
      <s:c r="AN2" s="165">
        <s:f>IF(AK2="","",AK2+1)</s:f>
        <s:v>46094</s:v>
      </s:c>
      <s:c r="AO2" s="166"/>
      <s:c r="AP2" s="167"/>
      <s:c r="AQ2" s="168">
        <s:f>IF(AN2="","",AN2+1)</s:f>
        <s:v>46095</s:v>
      </s:c>
      <s:c r="AR2" s="166"/>
      <s:c r="AS2" s="169"/>
      <s:c r="AT2" s="165">
        <s:f>IF(AQ2="","",AQ2+1)</s:f>
        <s:v>46096</s:v>
      </s:c>
      <s:c r="AU2" s="166"/>
      <s:c r="AV2" s="167"/>
      <s:c r="AW2" s="168">
        <s:f>IF(AT2="","",AT2+1)</s:f>
        <s:v>46097</s:v>
      </s:c>
      <s:c r="AX2" s="166"/>
      <s:c r="AY2" s="169"/>
      <s:c r="AZ2" s="165">
        <s:f>IF(AW2="","",AW2+1)</s:f>
        <s:v>46098</s:v>
      </s:c>
      <s:c r="BA2" s="166"/>
      <s:c r="BB2" s="167"/>
      <s:c r="BC2" s="168">
        <s:f>IF(AZ2="","",AZ2+1)</s:f>
        <s:v>46099</s:v>
      </s:c>
      <s:c r="BD2" s="166"/>
      <s:c r="BE2" s="169"/>
      <s:c r="BF2" s="165">
        <s:f>IF(BC2="","",BC2+1)</s:f>
        <s:v>46100</s:v>
      </s:c>
      <s:c r="BG2" s="166"/>
      <s:c r="BH2" s="167"/>
      <s:c r="BI2" s="168">
        <s:f>IF(BF2="","",BF2+1)</s:f>
        <s:v>46101</s:v>
      </s:c>
      <s:c r="BJ2" s="166"/>
      <s:c r="BK2" s="169"/>
      <s:c r="BL2" s="165">
        <s:f>IF(BI2="","",BI2+1)</s:f>
        <s:v>46102</s:v>
      </s:c>
      <s:c r="BM2" s="166"/>
      <s:c r="BN2" s="167"/>
      <s:c r="BO2" s="168">
        <s:f>IF(BL2="","",BL2+1)</s:f>
        <s:v>46103</s:v>
      </s:c>
      <s:c r="BP2" s="166"/>
      <s:c r="BQ2" s="169"/>
      <s:c r="BR2" s="165">
        <s:f>IF(BO2="","",BO2+1)</s:f>
        <s:v>46104</s:v>
      </s:c>
      <s:c r="BS2" s="166"/>
      <s:c r="BT2" s="167"/>
      <s:c r="BU2" s="168">
        <s:f>IF(BR2="","",BR2+1)</s:f>
        <s:v>46105</s:v>
      </s:c>
      <s:c r="BV2" s="166"/>
      <s:c r="BW2" s="169"/>
      <s:c r="BX2" s="165">
        <s:f>IF(BU2="","",BU2+1)</s:f>
        <s:v>46106</s:v>
      </s:c>
      <s:c r="BY2" s="166"/>
      <s:c r="BZ2" s="167"/>
      <s:c r="CA2" s="168">
        <s:f>IF(BX2="","",BX2+1)</s:f>
        <s:v>46107</s:v>
      </s:c>
      <s:c r="CB2" s="166"/>
      <s:c r="CC2" s="169"/>
      <s:c r="CD2" s="165">
        <s:f>IF(CA2="","",CA2+1)</s:f>
        <s:v>46108</s:v>
      </s:c>
      <s:c r="CE2" s="166"/>
      <s:c r="CF2" s="167"/>
      <s:c r="CG2" s="168">
        <s:f>IF(CD2="","",IF(CD2+1&gt;EOMONTH($AY$1,0),"",CD2+1))</s:f>
        <s:v>46109</s:v>
      </s:c>
      <s:c r="CH2" s="166"/>
      <s:c r="CI2" s="169"/>
      <s:c r="CJ2" s="165">
        <s:f>IF(CG2="","",IF(CG2+1&gt;EOMONTH($AY$1,0),"",CG2+1))</s:f>
        <s:v>46110</s:v>
      </s:c>
      <s:c r="CK2" s="166"/>
      <s:c r="CL2" s="167"/>
      <s:c r="CM2" s="168">
        <s:f>IF(CJ2="","",IF(CJ2+1&gt;EOMONTH($AY$1,0),"",CJ2+1))</s:f>
        <s:v>46111</s:v>
      </s:c>
      <s:c r="CN2" s="166"/>
      <s:c r="CO2" s="169"/>
      <s:c r="CP2" s="165">
        <s:f>IF(CM2="","",IF(CM2+1&gt;EOMONTH($AY$1,0),"",CM2+1))</s:f>
        <s:v>46112</s:v>
      </s:c>
      <s:c r="CQ2" s="166"/>
      <s:c r="CR2" s="167"/>
      <s:c r="CS2" s="9" t="s">
        <s:v>23</s:v>
      </s:c>
      <s:c r="CT2" s="10" t="s">
        <s:v>24</s:v>
      </s:c>
      <s:c r="CU2" s="10" t="s">
        <s:v>25</s:v>
      </s:c>
      <s:c r="CV2" s="11" t="s">
        <s:v>3</s:v>
      </s:c>
      <s:c r="CW2" s="12" t="s">
        <s:v>85</s:v>
      </s:c>
      <s:c r="CX2" s="13" t="s">
        <s:v>86</s:v>
      </s:c>
      <s:c r="CY2" s="13" t="s">
        <s:v>29</s:v>
      </s:c>
    </s:row>
    <s:row r="3" ht="21.75">
      <s:c r="A3" s="14"/>
      <s:c r="B3" s="15" t="s">
        <s:v>8</s:v>
      </s:c>
      <s:c r="C3" s="127" t="s">
        <s:v>60</s:v>
      </s:c>
      <s:c r="D3" s="16" t="s">
        <s:v>10</s:v>
      </s:c>
      <s:c r="E3" s="15" t="s">
        <s:v>11</s:v>
      </s:c>
      <s:c r="F3" s="17" t="s">
        <s:v>12</s:v>
      </s:c>
      <s:c r="G3" s="14" t="s">
        <s:v>10</s:v>
      </s:c>
      <s:c r="H3" s="15" t="s">
        <s:v>11</s:v>
      </s:c>
      <s:c r="I3" s="78" t="s">
        <s:v>12</s:v>
      </s:c>
      <s:c r="J3" s="16" t="s">
        <s:v>10</s:v>
      </s:c>
      <s:c r="K3" s="15" t="s">
        <s:v>11</s:v>
      </s:c>
      <s:c r="L3" s="17" t="s">
        <s:v>12</s:v>
      </s:c>
      <s:c r="M3" s="14" t="s">
        <s:v>10</s:v>
      </s:c>
      <s:c r="N3" s="15" t="s">
        <s:v>11</s:v>
      </s:c>
      <s:c r="O3" s="78" t="s">
        <s:v>12</s:v>
      </s:c>
      <s:c r="P3" s="16" t="s">
        <s:v>10</s:v>
      </s:c>
      <s:c r="Q3" s="15" t="s">
        <s:v>11</s:v>
      </s:c>
      <s:c r="R3" s="17" t="s">
        <s:v>12</s:v>
      </s:c>
      <s:c r="S3" s="14" t="s">
        <s:v>10</s:v>
      </s:c>
      <s:c r="T3" s="15" t="s">
        <s:v>11</s:v>
      </s:c>
      <s:c r="U3" s="78" t="s">
        <s:v>12</s:v>
      </s:c>
      <s:c r="V3" s="16" t="s">
        <s:v>10</s:v>
      </s:c>
      <s:c r="W3" s="15" t="s">
        <s:v>11</s:v>
      </s:c>
      <s:c r="X3" s="17" t="s">
        <s:v>12</s:v>
      </s:c>
      <s:c r="Y3" s="14" t="s">
        <s:v>10</s:v>
      </s:c>
      <s:c r="Z3" s="15" t="s">
        <s:v>11</s:v>
      </s:c>
      <s:c r="AA3" s="78" t="s">
        <s:v>12</s:v>
      </s:c>
      <s:c r="AB3" s="16" t="s">
        <s:v>10</s:v>
      </s:c>
      <s:c r="AC3" s="15" t="s">
        <s:v>11</s:v>
      </s:c>
      <s:c r="AD3" s="17" t="s">
        <s:v>12</s:v>
      </s:c>
      <s:c r="AE3" s="14" t="s">
        <s:v>10</s:v>
      </s:c>
      <s:c r="AF3" s="15" t="s">
        <s:v>11</s:v>
      </s:c>
      <s:c r="AG3" s="78" t="s">
        <s:v>12</s:v>
      </s:c>
      <s:c r="AH3" s="16" t="s">
        <s:v>10</s:v>
      </s:c>
      <s:c r="AI3" s="15" t="s">
        <s:v>11</s:v>
      </s:c>
      <s:c r="AJ3" s="17" t="s">
        <s:v>12</s:v>
      </s:c>
      <s:c r="AK3" s="14" t="s">
        <s:v>10</s:v>
      </s:c>
      <s:c r="AL3" s="15" t="s">
        <s:v>11</s:v>
      </s:c>
      <s:c r="AM3" s="78" t="s">
        <s:v>12</s:v>
      </s:c>
      <s:c r="AN3" s="16" t="s">
        <s:v>10</s:v>
      </s:c>
      <s:c r="AO3" s="15" t="s">
        <s:v>11</s:v>
      </s:c>
      <s:c r="AP3" s="17" t="s">
        <s:v>12</s:v>
      </s:c>
      <s:c r="AQ3" s="14" t="s">
        <s:v>10</s:v>
      </s:c>
      <s:c r="AR3" s="15" t="s">
        <s:v>11</s:v>
      </s:c>
      <s:c r="AS3" s="78" t="s">
        <s:v>12</s:v>
      </s:c>
      <s:c r="AT3" s="16" t="s">
        <s:v>10</s:v>
      </s:c>
      <s:c r="AU3" s="15" t="s">
        <s:v>11</s:v>
      </s:c>
      <s:c r="AV3" s="17" t="s">
        <s:v>12</s:v>
      </s:c>
      <s:c r="AW3" s="14" t="s">
        <s:v>10</s:v>
      </s:c>
      <s:c r="AX3" s="15" t="s">
        <s:v>11</s:v>
      </s:c>
      <s:c r="AY3" s="78" t="s">
        <s:v>12</s:v>
      </s:c>
      <s:c r="AZ3" s="16" t="s">
        <s:v>10</s:v>
      </s:c>
      <s:c r="BA3" s="15" t="s">
        <s:v>11</s:v>
      </s:c>
      <s:c r="BB3" s="17" t="s">
        <s:v>12</s:v>
      </s:c>
      <s:c r="BC3" s="14" t="s">
        <s:v>10</s:v>
      </s:c>
      <s:c r="BD3" s="15" t="s">
        <s:v>11</s:v>
      </s:c>
      <s:c r="BE3" s="78" t="s">
        <s:v>12</s:v>
      </s:c>
      <s:c r="BF3" s="16" t="s">
        <s:v>10</s:v>
      </s:c>
      <s:c r="BG3" s="15" t="s">
        <s:v>11</s:v>
      </s:c>
      <s:c r="BH3" s="17" t="s">
        <s:v>12</s:v>
      </s:c>
      <s:c r="BI3" s="14" t="s">
        <s:v>10</s:v>
      </s:c>
      <s:c r="BJ3" s="15" t="s">
        <s:v>11</s:v>
      </s:c>
      <s:c r="BK3" s="78" t="s">
        <s:v>12</s:v>
      </s:c>
      <s:c r="BL3" s="16" t="s">
        <s:v>10</s:v>
      </s:c>
      <s:c r="BM3" s="15" t="s">
        <s:v>11</s:v>
      </s:c>
      <s:c r="BN3" s="17" t="s">
        <s:v>12</s:v>
      </s:c>
      <s:c r="BO3" s="14" t="s">
        <s:v>10</s:v>
      </s:c>
      <s:c r="BP3" s="15" t="s">
        <s:v>11</s:v>
      </s:c>
      <s:c r="BQ3" s="78" t="s">
        <s:v>12</s:v>
      </s:c>
      <s:c r="BR3" s="16" t="s">
        <s:v>10</s:v>
      </s:c>
      <s:c r="BS3" s="15" t="s">
        <s:v>11</s:v>
      </s:c>
      <s:c r="BT3" s="17" t="s">
        <s:v>12</s:v>
      </s:c>
      <s:c r="BU3" s="14" t="s">
        <s:v>10</s:v>
      </s:c>
      <s:c r="BV3" s="15" t="s">
        <s:v>11</s:v>
      </s:c>
      <s:c r="BW3" s="78" t="s">
        <s:v>12</s:v>
      </s:c>
      <s:c r="BX3" s="16" t="s">
        <s:v>10</s:v>
      </s:c>
      <s:c r="BY3" s="15" t="s">
        <s:v>11</s:v>
      </s:c>
      <s:c r="BZ3" s="17" t="s">
        <s:v>12</s:v>
      </s:c>
      <s:c r="CA3" s="14" t="s">
        <s:v>10</s:v>
      </s:c>
      <s:c r="CB3" s="15" t="s">
        <s:v>11</s:v>
      </s:c>
      <s:c r="CC3" s="78" t="s">
        <s:v>12</s:v>
      </s:c>
      <s:c r="CD3" s="16" t="s">
        <s:v>10</s:v>
      </s:c>
      <s:c r="CE3" s="15" t="s">
        <s:v>11</s:v>
      </s:c>
      <s:c r="CF3" s="17" t="s">
        <s:v>12</s:v>
      </s:c>
      <s:c r="CG3" s="14" t="s">
        <s:v>10</s:v>
      </s:c>
      <s:c r="CH3" s="15" t="s">
        <s:v>11</s:v>
      </s:c>
      <s:c r="CI3" s="78" t="s">
        <s:v>12</s:v>
      </s:c>
      <s:c r="CJ3" s="16" t="s">
        <s:v>10</s:v>
      </s:c>
      <s:c r="CK3" s="15" t="s">
        <s:v>11</s:v>
      </s:c>
      <s:c r="CL3" s="17" t="s">
        <s:v>12</s:v>
      </s:c>
      <s:c r="CM3" s="14" t="s">
        <s:v>10</s:v>
      </s:c>
      <s:c r="CN3" s="15" t="s">
        <s:v>11</s:v>
      </s:c>
      <s:c r="CO3" s="78" t="s">
        <s:v>12</s:v>
      </s:c>
      <s:c r="CP3" s="16" t="s">
        <s:v>10</s:v>
      </s:c>
      <s:c r="CQ3" s="15" t="s">
        <s:v>11</s:v>
      </s:c>
      <s:c r="CR3" s="17" t="s">
        <s:v>12</s:v>
      </s:c>
      <s:c r="CS3" s="18" t="s">
        <s:v>10</s:v>
      </s:c>
      <s:c r="CT3" s="19" t="s">
        <s:v>11</s:v>
      </s:c>
      <s:c r="CU3" s="19" t="s">
        <s:v>12</s:v>
      </s:c>
      <s:c r="CV3" s="20"/>
      <s:c r="CW3" s="21"/>
      <s:c r="CX3" s="22"/>
      <s:c r="CY3" s="22"/>
    </s:row>
    <s:row r="4" ht="21.75">
      <s:c r="A4" s="23"/>
      <s:c r="B4" s="24" t="s">
        <s:v>105</s:v>
      </s:c>
      <s:c r="C4" s="25" t="s">
        <s:v>18</s:v>
      </s:c>
      <s:c r="D4" s="49">
        <s:v>3</s:v>
      </s:c>
      <s:c r="E4" s="50"/>
      <s:c r="F4" s="191">
        <s:v>3</s:v>
      </s:c>
      <s:c r="G4" s="180">
        <s:v>3</s:v>
      </s:c>
      <s:c r="H4" s="26"/>
      <s:c r="I4" s="80"/>
      <s:c r="J4" s="76"/>
      <s:c r="K4" s="26"/>
      <s:c r="L4" s="27"/>
      <s:c r="M4" s="79"/>
      <s:c r="N4" s="26"/>
      <s:c r="O4" s="80"/>
      <s:c r="P4" s="76"/>
      <s:c r="Q4" s="26"/>
      <s:c r="R4" s="27"/>
      <s:c r="S4" s="79"/>
      <s:c r="T4" s="26"/>
      <s:c r="U4" s="80"/>
      <s:c r="V4" s="76"/>
      <s:c r="W4" s="26"/>
      <s:c r="X4" s="27"/>
      <s:c r="Y4" s="79"/>
      <s:c r="Z4" s="26"/>
      <s:c r="AA4" s="80"/>
      <s:c r="AB4" s="76"/>
      <s:c r="AC4" s="26"/>
      <s:c r="AD4" s="27"/>
      <s:c r="AE4" s="79"/>
      <s:c r="AF4" s="26"/>
      <s:c r="AG4" s="80"/>
      <s:c r="AH4" s="76"/>
      <s:c r="AI4" s="26"/>
      <s:c r="AJ4" s="27"/>
      <s:c r="AK4" s="79"/>
      <s:c r="AL4" s="26"/>
      <s:c r="AM4" s="80"/>
      <s:c r="AN4" s="76"/>
      <s:c r="AO4" s="26"/>
      <s:c r="AP4" s="27"/>
      <s:c r="AQ4" s="79"/>
      <s:c r="AR4" s="26"/>
      <s:c r="AS4" s="80"/>
      <s:c r="AT4" s="76"/>
      <s:c r="AU4" s="26"/>
      <s:c r="AV4" s="27"/>
      <s:c r="AW4" s="79"/>
      <s:c r="AX4" s="26"/>
      <s:c r="AY4" s="80"/>
      <s:c r="AZ4" s="76"/>
      <s:c r="BA4" s="26"/>
      <s:c r="BB4" s="27"/>
      <s:c r="BC4" s="79"/>
      <s:c r="BD4" s="26"/>
      <s:c r="BE4" s="80"/>
      <s:c r="BF4" s="76"/>
      <s:c r="BG4" s="26"/>
      <s:c r="BH4" s="27"/>
      <s:c r="BI4" s="79"/>
      <s:c r="BJ4" s="26"/>
      <s:c r="BK4" s="80"/>
      <s:c r="BL4" s="76"/>
      <s:c r="BM4" s="26"/>
      <s:c r="BN4" s="27"/>
      <s:c r="BO4" s="79"/>
      <s:c r="BP4" s="26"/>
      <s:c r="BQ4" s="80"/>
      <s:c r="BR4" s="76"/>
      <s:c r="BS4" s="26"/>
      <s:c r="BT4" s="27"/>
      <s:c r="BU4" s="79"/>
      <s:c r="BV4" s="26"/>
      <s:c r="BW4" s="80"/>
      <s:c r="BX4" s="76"/>
      <s:c r="BY4" s="26"/>
      <s:c r="BZ4" s="184"/>
      <s:c r="CA4" s="180"/>
      <s:c r="CB4" s="26"/>
      <s:c r="CC4" s="182"/>
      <s:c r="CD4" s="183"/>
      <s:c r="CE4" s="26"/>
      <s:c r="CF4" s="184"/>
      <s:c r="CG4" s="180"/>
      <s:c r="CH4" s="26"/>
      <s:c r="CI4" s="182"/>
      <s:c r="CJ4" s="76"/>
      <s:c r="CK4" s="26"/>
      <s:c r="CL4" s="27"/>
      <s:c r="CM4" s="79"/>
      <s:c r="CN4" s="26"/>
      <s:c r="CO4" s="80"/>
      <s:c r="CP4" s="76"/>
      <s:c r="CQ4" s="26"/>
      <s:c r="CR4" s="27"/>
      <s:c r="CS4" s="62">
        <s:f>SUMIFS(D4:CR4,$D$3:$CR$3,"З")</s:f>
        <s:v>6</s:v>
      </s:c>
      <s:c r="CT4" s="63">
        <s:f>SUMIFS(D4:CR4,$D$3:$CR$3,"О")</s:f>
        <s:v>0</s:v>
      </s:c>
      <s:c r="CU4" s="63">
        <s:f>SUMIFS(D4:CR4,$D$3:$CR$3,"У")</s:f>
        <s:v>3</s:v>
      </s:c>
      <s:c r="CV4" s="28">
        <s:f>IF(C4="Да",CS4*$D$46+CT4*$D$47+CU4*$D$48,CS4*$C$46+CT4*$C$47+CU4*$C$48)</s:f>
        <s:v>7350</s:v>
      </s:c>
      <s:c r="CW4" s="29">
        <s:f>IF(C4="Нет",CV4,"")</s:f>
        <s:v>7350</s:v>
      </s:c>
      <s:c r="CX4" s="30" t="str">
        <s:f>IF(C4="Да",CV4,"")</s:f>
        <s:v/>
      </s:c>
      <s:c r="CY4" s="30" t="str">
        <s:f>IF(C4="Налич",CV4,"")</s:f>
        <s:v/>
      </s:c>
    </s:row>
    <s:row r="5" ht="21.75">
      <s:c r="A5" s="23"/>
      <s:c r="B5" s="31" t="s">
        <s:v>128</s:v>
      </s:c>
      <s:c r="C5" s="32" t="s">
        <s:v>18</s:v>
      </s:c>
      <s:c r="D5" s="51"/>
      <s:c r="E5" s="52"/>
      <s:c r="F5" s="74"/>
      <s:c r="G5" s="79"/>
      <s:c r="H5" s="26"/>
      <s:c r="I5" s="80"/>
      <s:c r="J5" s="76"/>
      <s:c r="K5" s="26"/>
      <s:c r="L5" s="27"/>
      <s:c r="M5" s="79"/>
      <s:c r="N5" s="26"/>
      <s:c r="O5" s="80"/>
      <s:c r="P5" s="76"/>
      <s:c r="Q5" s="26"/>
      <s:c r="R5" s="27"/>
      <s:c r="S5" s="79"/>
      <s:c r="T5" s="26"/>
      <s:c r="U5" s="80"/>
      <s:c r="V5" s="76"/>
      <s:c r="W5" s="26"/>
      <s:c r="X5" s="27"/>
      <s:c r="Y5" s="79"/>
      <s:c r="Z5" s="26"/>
      <s:c r="AA5" s="80"/>
      <s:c r="AB5" s="76"/>
      <s:c r="AC5" s="26"/>
      <s:c r="AD5" s="27"/>
      <s:c r="AE5" s="79"/>
      <s:c r="AF5" s="26"/>
      <s:c r="AG5" s="80"/>
      <s:c r="AH5" s="76"/>
      <s:c r="AI5" s="26"/>
      <s:c r="AJ5" s="27"/>
      <s:c r="AK5" s="79"/>
      <s:c r="AL5" s="26"/>
      <s:c r="AM5" s="80"/>
      <s:c r="AN5" s="76"/>
      <s:c r="AO5" s="26"/>
      <s:c r="AP5" s="27"/>
      <s:c r="AQ5" s="79"/>
      <s:c r="AR5" s="26"/>
      <s:c r="AS5" s="80"/>
      <s:c r="AT5" s="76"/>
      <s:c r="AU5" s="26"/>
      <s:c r="AV5" s="27"/>
      <s:c r="AW5" s="79"/>
      <s:c r="AX5" s="26"/>
      <s:c r="AY5" s="80"/>
      <s:c r="AZ5" s="76"/>
      <s:c r="BA5" s="26"/>
      <s:c r="BB5" s="184">
        <s:v>11</s:v>
      </s:c>
      <s:c r="BC5" s="180">
        <s:v>11</s:v>
      </s:c>
      <s:c r="BD5" s="26"/>
      <s:c r="BE5" s="182">
        <s:v>11</s:v>
      </s:c>
      <s:c r="BF5" s="183">
        <s:v>11</s:v>
      </s:c>
      <s:c r="BG5" s="26"/>
      <s:c r="BH5" s="184">
        <s:v>11</s:v>
      </s:c>
      <s:c r="BI5" s="180">
        <s:v>11</s:v>
      </s:c>
      <s:c r="BJ5" s="26"/>
      <s:c r="BK5" s="182">
        <s:v>11</s:v>
      </s:c>
      <s:c r="BL5" s="183">
        <s:v>11</s:v>
      </s:c>
      <s:c r="BM5" s="26"/>
      <s:c r="BN5" s="184">
        <s:v>11</s:v>
      </s:c>
      <s:c r="BO5" s="180">
        <s:v>11</s:v>
      </s:c>
      <s:c r="BP5" s="26"/>
      <s:c r="BQ5" s="182">
        <s:v>11</s:v>
      </s:c>
      <s:c r="BR5" s="183">
        <s:v>11</s:v>
      </s:c>
      <s:c r="BS5" s="26"/>
      <s:c r="BT5" s="184">
        <s:v>11</s:v>
      </s:c>
      <s:c r="BU5" s="180">
        <s:v>11</s:v>
      </s:c>
      <s:c r="BV5" s="26"/>
      <s:c r="BW5" s="182">
        <s:v>11</s:v>
      </s:c>
      <s:c r="BX5" s="183">
        <s:v>11</s:v>
      </s:c>
      <s:c r="BY5" s="26"/>
      <s:c r="BZ5" s="184">
        <s:v>11</s:v>
      </s:c>
      <s:c r="CA5" s="180">
        <s:v>11</s:v>
      </s:c>
      <s:c r="CB5" s="26"/>
      <s:c r="CC5" s="182"/>
      <s:c r="CD5" s="183"/>
      <s:c r="CE5" s="26"/>
      <s:c r="CF5" s="184"/>
      <s:c r="CG5" s="180"/>
      <s:c r="CH5" s="26"/>
      <s:c r="CI5" s="182"/>
      <s:c r="CJ5" s="76"/>
      <s:c r="CK5" s="26"/>
      <s:c r="CL5" s="27"/>
      <s:c r="CM5" s="79"/>
      <s:c r="CN5" s="26"/>
      <s:c r="CO5" s="80"/>
      <s:c r="CP5" s="76"/>
      <s:c r="CQ5" s="26"/>
      <s:c r="CR5" s="27"/>
      <s:c r="CS5" s="62">
        <s:f>SUMIFS(D5:CR5,$D$3:$CR$3,"З")</s:f>
        <s:v>99</s:v>
      </s:c>
      <s:c r="CT5" s="63">
        <s:f>SUMIFS(D5:CR5,$D$3:$CR$3,"О")</s:f>
        <s:v>0</s:v>
      </s:c>
      <s:c r="CU5" s="63">
        <s:f>SUMIFS(D5:CR5,$D$3:$CR$3,"У")</s:f>
        <s:v>99</s:v>
      </s:c>
      <s:c r="CV5" s="28">
        <s:f>IF(C5="Да",CS5*$D$46+CT5*$D$47+CU5*$D$48,CS5*$C$46+CT5*$C$47+CU5*$C$48)</s:f>
        <s:v>163350</s:v>
      </s:c>
      <s:c r="CW5" s="29">
        <s:f>IF(C5="Нет",CV5,"")</s:f>
        <s:v>163350</s:v>
      </s:c>
      <s:c r="CX5" s="30" t="str">
        <s:f>IF(C5="Да",CV5,"")</s:f>
        <s:v/>
      </s:c>
      <s:c r="CY5" s="30" t="str">
        <s:f>IF(C5="Налич",CV5,"")</s:f>
        <s:v/>
      </s:c>
    </s:row>
    <s:row r="6" ht="21.75">
      <s:c r="A6" s="23"/>
      <s:c r="B6" s="24" t="s">
        <s:v>129</s:v>
      </s:c>
      <s:c r="C6" s="25" t="s">
        <s:v>28</s:v>
      </s:c>
      <s:c r="D6" s="49"/>
      <s:c r="E6" s="50"/>
      <s:c r="F6" s="74"/>
      <s:c r="G6" s="79"/>
      <s:c r="H6" s="26"/>
      <s:c r="I6" s="80"/>
      <s:c r="J6" s="76"/>
      <s:c r="K6" s="26"/>
      <s:c r="L6" s="27"/>
      <s:c r="M6" s="79"/>
      <s:c r="N6" s="26"/>
      <s:c r="O6" s="80"/>
      <s:c r="P6" s="76"/>
      <s:c r="Q6" s="26"/>
      <s:c r="R6" s="27"/>
      <s:c r="S6" s="79"/>
      <s:c r="T6" s="26"/>
      <s:c r="U6" s="80"/>
      <s:c r="V6" s="76"/>
      <s:c r="W6" s="26"/>
      <s:c r="X6" s="27"/>
      <s:c r="Y6" s="79"/>
      <s:c r="Z6" s="26"/>
      <s:c r="AA6" s="80"/>
      <s:c r="AB6" s="76"/>
      <s:c r="AC6" s="26"/>
      <s:c r="AD6" s="27"/>
      <s:c r="AE6" s="79"/>
      <s:c r="AF6" s="26"/>
      <s:c r="AG6" s="80"/>
      <s:c r="AH6" s="76"/>
      <s:c r="AI6" s="26"/>
      <s:c r="AJ6" s="27"/>
      <s:c r="AK6" s="79"/>
      <s:c r="AL6" s="26"/>
      <s:c r="AM6" s="80"/>
      <s:c r="AN6" s="76"/>
      <s:c r="AO6" s="26"/>
      <s:c r="AP6" s="27"/>
      <s:c r="AQ6" s="79"/>
      <s:c r="AR6" s="26"/>
      <s:c r="AS6" s="117"/>
      <s:c r="AT6" s="118"/>
      <s:c r="AU6" s="119"/>
      <s:c r="AV6" s="120"/>
      <s:c r="AW6" s="121"/>
      <s:c r="AX6" s="119"/>
      <s:c r="AY6" s="117"/>
      <s:c r="AZ6" s="118"/>
      <s:c r="BA6" s="119"/>
      <s:c r="BB6" s="120"/>
      <s:c r="BC6" s="121"/>
      <s:c r="BD6" s="26"/>
      <s:c r="BE6" s="80"/>
      <s:c r="BF6" s="76"/>
      <s:c r="BG6" s="181">
        <s:v>17</s:v>
      </s:c>
      <s:c r="BH6" s="184">
        <s:v>17</s:v>
      </s:c>
      <s:c r="BI6" s="180">
        <s:v>17</s:v>
      </s:c>
      <s:c r="BJ6" s="181">
        <s:v>17</s:v>
      </s:c>
      <s:c r="BK6" s="182">
        <s:v>17</s:v>
      </s:c>
      <s:c r="BL6" s="183">
        <s:v>17</s:v>
      </s:c>
      <s:c r="BM6" s="181">
        <s:v>17</s:v>
      </s:c>
      <s:c r="BN6" s="184">
        <s:v>17</s:v>
      </s:c>
      <s:c r="BO6" s="180">
        <s:v>17</s:v>
      </s:c>
      <s:c r="BP6" s="181">
        <s:v>17</s:v>
      </s:c>
      <s:c r="BQ6" s="182">
        <s:v>17</s:v>
      </s:c>
      <s:c r="BR6" s="183">
        <s:v>17</s:v>
      </s:c>
      <s:c r="BS6" s="181">
        <s:v>17</s:v>
      </s:c>
      <s:c r="BT6" s="184">
        <s:v>17</s:v>
      </s:c>
      <s:c r="BU6" s="180">
        <s:v>17</s:v>
      </s:c>
      <s:c r="BV6" s="181">
        <s:v>17</s:v>
      </s:c>
      <s:c r="BW6" s="182">
        <s:v>17</s:v>
      </s:c>
      <s:c r="BX6" s="183">
        <s:v>17</s:v>
      </s:c>
      <s:c r="BY6" s="181">
        <s:v>17</s:v>
      </s:c>
      <s:c r="BZ6" s="184">
        <s:v>17</s:v>
      </s:c>
      <s:c r="CA6" s="180">
        <s:v>17</s:v>
      </s:c>
      <s:c r="CB6" s="181"/>
      <s:c r="CC6" s="182"/>
      <s:c r="CD6" s="183"/>
      <s:c r="CE6" s="181"/>
      <s:c r="CF6" s="184"/>
      <s:c r="CG6" s="180"/>
      <s:c r="CH6" s="181"/>
      <s:c r="CI6" s="182"/>
      <s:c r="CJ6" s="76"/>
      <s:c r="CK6" s="26"/>
      <s:c r="CL6" s="27"/>
      <s:c r="CM6" s="79"/>
      <s:c r="CN6" s="26"/>
      <s:c r="CO6" s="80"/>
      <s:c r="CP6" s="76"/>
      <s:c r="CQ6" s="26"/>
      <s:c r="CR6" s="27"/>
      <s:c r="CS6" s="62">
        <s:f>SUMIFS(D6:CR6,$D$3:$CR$3,"З")</s:f>
        <s:v>119</s:v>
      </s:c>
      <s:c r="CT6" s="63">
        <s:f>SUMIFS(D6:CR6,$D$3:$CR$3,"О")</s:f>
        <s:v>119</s:v>
      </s:c>
      <s:c r="CU6" s="63">
        <s:f>SUMIFS(D6:CR6,$D$3:$CR$3,"У")</s:f>
        <s:v>119</s:v>
      </s:c>
      <s:c r="CV6" s="28">
        <s:f>IF(C6="Да",CS6*$D$46+CT6*$D$47+CU6*$D$48,CS6*$C$46+CT6*$C$47+CU6*$C$48)</s:f>
        <s:v>315350</s:v>
      </s:c>
      <s:c r="CW6" s="29" t="str">
        <s:f>IF(C6="Нет",CV6,"")</s:f>
        <s:v/>
      </s:c>
      <s:c r="CX6" s="30" t="str">
        <s:f>IF(C6="Да",CV6,"")</s:f>
        <s:v/>
      </s:c>
      <s:c r="CY6" s="30">
        <s:f>IF(C6="Налич",CV6,"")</s:f>
        <s:v>315350</s:v>
      </s:c>
      <s:c r="CZ6" s="122"/>
    </s:row>
    <s:row r="7" ht="21.75">
      <s:c r="A7" s="23"/>
      <s:c r="B7" s="24"/>
      <s:c r="C7" s="25"/>
      <s:c r="D7" s="49"/>
      <s:c r="E7" s="50"/>
      <s:c r="F7" s="191"/>
      <s:c r="G7" s="180"/>
      <s:c r="H7" s="26"/>
      <s:c r="I7" s="80"/>
      <s:c r="J7" s="76"/>
      <s:c r="K7" s="26"/>
      <s:c r="L7" s="27"/>
      <s:c r="M7" s="79"/>
      <s:c r="N7" s="26"/>
      <s:c r="O7" s="80"/>
      <s:c r="P7" s="76"/>
      <s:c r="Q7" s="26"/>
      <s:c r="R7" s="27"/>
      <s:c r="S7" s="79"/>
      <s:c r="T7" s="26"/>
      <s:c r="U7" s="80"/>
      <s:c r="V7" s="76"/>
      <s:c r="W7" s="26"/>
      <s:c r="X7" s="27"/>
      <s:c r="Y7" s="79"/>
      <s:c r="Z7" s="26"/>
      <s:c r="AA7" s="80"/>
      <s:c r="AB7" s="76"/>
      <s:c r="AC7" s="26"/>
      <s:c r="AD7" s="27"/>
      <s:c r="AE7" s="79"/>
      <s:c r="AF7" s="26"/>
      <s:c r="AG7" s="80"/>
      <s:c r="AH7" s="76"/>
      <s:c r="AI7" s="26"/>
      <s:c r="AJ7" s="27"/>
      <s:c r="AK7" s="79"/>
      <s:c r="AL7" s="26"/>
      <s:c r="AM7" s="80"/>
      <s:c r="AN7" s="76"/>
      <s:c r="AO7" s="26"/>
      <s:c r="AP7" s="27"/>
      <s:c r="AQ7" s="79"/>
      <s:c r="AR7" s="26"/>
      <s:c r="AS7" s="117"/>
      <s:c r="AT7" s="118"/>
      <s:c r="AU7" s="119"/>
      <s:c r="AV7" s="120"/>
      <s:c r="AW7" s="121"/>
      <s:c r="AX7" s="119"/>
      <s:c r="AY7" s="117"/>
      <s:c r="AZ7" s="118"/>
      <s:c r="BA7" s="26"/>
      <s:c r="BB7" s="27"/>
      <s:c r="BC7" s="79"/>
      <s:c r="BD7" s="26"/>
      <s:c r="BE7" s="80"/>
      <s:c r="BF7" s="183"/>
      <s:c r="BG7" s="26"/>
      <s:c r="BH7" s="27"/>
      <s:c r="BI7" s="79"/>
      <s:c r="BJ7" s="26"/>
      <s:c r="BK7" s="80"/>
      <s:c r="BL7" s="76"/>
      <s:c r="BM7" s="26"/>
      <s:c r="BN7" s="27"/>
      <s:c r="BO7" s="79"/>
      <s:c r="BP7" s="26"/>
      <s:c r="BQ7" s="80"/>
      <s:c r="BR7" s="118"/>
      <s:c r="BS7" s="119"/>
      <s:c r="BT7" s="120"/>
      <s:c r="BU7" s="121"/>
      <s:c r="BV7" s="119"/>
      <s:c r="BW7" s="80"/>
      <s:c r="BX7" s="76"/>
      <s:c r="BY7" s="26"/>
      <s:c r="BZ7" s="27"/>
      <s:c r="CA7" s="79"/>
      <s:c r="CB7" s="26"/>
      <s:c r="CC7" s="80"/>
      <s:c r="CD7" s="76"/>
      <s:c r="CE7" s="26"/>
      <s:c r="CF7" s="27"/>
      <s:c r="CG7" s="79"/>
      <s:c r="CH7" s="26"/>
      <s:c r="CI7" s="80"/>
      <s:c r="CJ7" s="76"/>
      <s:c r="CK7" s="26"/>
      <s:c r="CL7" s="27"/>
      <s:c r="CM7" s="79"/>
      <s:c r="CN7" s="26"/>
      <s:c r="CO7" s="80"/>
      <s:c r="CP7" s="76"/>
      <s:c r="CQ7" s="26"/>
      <s:c r="CR7" s="27"/>
      <s:c r="CS7" s="62">
        <s:f>SUMIFS(D7:CR7,$D$3:$CR$3,"З")</s:f>
        <s:v>0</s:v>
      </s:c>
      <s:c r="CT7" s="63">
        <s:f>SUMIFS(D7:CR7,$D$3:$CR$3,"О")</s:f>
        <s:v>0</s:v>
      </s:c>
      <s:c r="CU7" s="63">
        <s:f>SUMIFS(D7:CR7,$D$3:$CR$3,"У")</s:f>
        <s:v>0</s:v>
      </s:c>
      <s:c r="CV7" s="28">
        <s:f>IF(C7="Да",CS7*$D$46+CT7*$D$47+CU7*$D$48,CS7*$C$46+CT7*$C$47+CU7*$C$48)</s:f>
        <s:v>0</s:v>
      </s:c>
      <s:c r="CW7" s="29" t="str">
        <s:f>IF(C7="Нет",CV7,"")</s:f>
        <s:v/>
      </s:c>
      <s:c r="CX7" s="30" t="str">
        <s:f>IF(C7="Да",CV7,"")</s:f>
        <s:v/>
      </s:c>
      <s:c r="CY7" s="30" t="str">
        <s:f>IF(C7="Налич",CV7,"")</s:f>
        <s:v/>
      </s:c>
      <s:c r="CZ7" s="122"/>
    </s:row>
    <s:row r="8" ht="21.75">
      <s:c r="A8" s="23"/>
      <s:c r="B8" s="24"/>
      <s:c r="C8" s="25"/>
      <s:c r="D8" s="49"/>
      <s:c r="E8" s="50"/>
      <s:c r="F8" s="74"/>
      <s:c r="G8" s="79"/>
      <s:c r="H8" s="26"/>
      <s:c r="I8" s="80"/>
      <s:c r="J8" s="76"/>
      <s:c r="K8" s="26"/>
      <s:c r="L8" s="27"/>
      <s:c r="M8" s="79"/>
      <s:c r="N8" s="26"/>
      <s:c r="O8" s="80"/>
      <s:c r="P8" s="76"/>
      <s:c r="Q8" s="26"/>
      <s:c r="R8" s="27"/>
      <s:c r="S8" s="79"/>
      <s:c r="T8" s="26"/>
      <s:c r="U8" s="80"/>
      <s:c r="V8" s="76"/>
      <s:c r="W8" s="26"/>
      <s:c r="X8" s="27"/>
      <s:c r="Y8" s="79"/>
      <s:c r="Z8" s="26"/>
      <s:c r="AA8" s="80"/>
      <s:c r="AB8" s="76"/>
      <s:c r="AC8" s="26"/>
      <s:c r="AD8" s="27"/>
      <s:c r="AE8" s="79"/>
      <s:c r="AF8" s="26"/>
      <s:c r="AG8" s="80"/>
      <s:c r="AH8" s="76"/>
      <s:c r="AI8" s="26"/>
      <s:c r="AJ8" s="27"/>
      <s:c r="AK8" s="79"/>
      <s:c r="AL8" s="26"/>
      <s:c r="AM8" s="80"/>
      <s:c r="AN8" s="76"/>
      <s:c r="AO8" s="26"/>
      <s:c r="AP8" s="27"/>
      <s:c r="AQ8" s="79"/>
      <s:c r="AR8" s="26"/>
      <s:c r="AS8" s="80"/>
      <s:c r="AT8" s="76"/>
      <s:c r="AU8" s="26"/>
      <s:c r="AV8" s="27"/>
      <s:c r="AW8" s="79"/>
      <s:c r="AX8" s="26"/>
      <s:c r="AY8" s="80"/>
      <s:c r="AZ8" s="76"/>
      <s:c r="BA8" s="26"/>
      <s:c r="BB8" s="184"/>
      <s:c r="BC8" s="180"/>
      <s:c r="BD8" s="26"/>
      <s:c r="BE8" s="182"/>
      <s:c r="BF8" s="183"/>
      <s:c r="BG8" s="26"/>
      <s:c r="BH8" s="184"/>
      <s:c r="BI8" s="180"/>
      <s:c r="BJ8" s="26"/>
      <s:c r="BK8" s="80"/>
      <s:c r="BL8" s="76"/>
      <s:c r="BM8" s="26"/>
      <s:c r="BN8" s="27"/>
      <s:c r="BO8" s="79"/>
      <s:c r="BP8" s="26"/>
      <s:c r="BQ8" s="182"/>
      <s:c r="BR8" s="183"/>
      <s:c r="BS8" s="26"/>
      <s:c r="BT8" s="184"/>
      <s:c r="BU8" s="180"/>
      <s:c r="BV8" s="26"/>
      <s:c r="BW8" s="182"/>
      <s:c r="BX8" s="183"/>
      <s:c r="BY8" s="26"/>
      <s:c r="BZ8" s="184"/>
      <s:c r="CA8" s="180"/>
      <s:c r="CB8" s="26"/>
      <s:c r="CC8" s="182"/>
      <s:c r="CD8" s="183"/>
      <s:c r="CE8" s="26"/>
      <s:c r="CF8" s="27"/>
      <s:c r="CG8" s="79"/>
      <s:c r="CH8" s="26"/>
      <s:c r="CI8" s="80"/>
      <s:c r="CJ8" s="76"/>
      <s:c r="CK8" s="26"/>
      <s:c r="CL8" s="184"/>
      <s:c r="CM8" s="180"/>
      <s:c r="CN8" s="26"/>
      <s:c r="CO8" s="182"/>
      <s:c r="CP8" s="183"/>
      <s:c r="CQ8" s="26"/>
      <s:c r="CR8" s="184"/>
      <s:c r="CS8" s="62">
        <s:f>SUMIFS(D8:CR8,$D$3:$CR$3,"З")</s:f>
        <s:v>0</s:v>
      </s:c>
      <s:c r="CT8" s="63">
        <s:f>SUMIFS(D8:CR8,$D$3:$CR$3,"О")</s:f>
        <s:v>0</s:v>
      </s:c>
      <s:c r="CU8" s="63">
        <s:f>SUMIFS(D8:CR8,$D$3:$CR$3,"У")</s:f>
        <s:v>0</s:v>
      </s:c>
      <s:c r="CV8" s="28">
        <s:f>IF(C8="Да",CS8*$D$46+CT8*$D$47+CU8*$D$48,CS8*$C$46+CT8*$C$47+CU8*$C$48)</s:f>
        <s:v>0</s:v>
      </s:c>
      <s:c r="CW8" s="29" t="str">
        <s:f>IF(C8="Нет",CV8,"")</s:f>
        <s:v/>
      </s:c>
      <s:c r="CX8" s="30" t="str">
        <s:f>IF(C8="Да",CV8,"")</s:f>
        <s:v/>
      </s:c>
      <s:c r="CY8" s="30" t="str">
        <s:f>IF(C8="Налич",CV8,"")</s:f>
        <s:v/>
      </s:c>
      <s:c r="CZ8" s="122"/>
    </s:row>
    <s:row r="9" ht="21.75">
      <s:c r="A9" s="23"/>
      <s:c r="B9" s="24"/>
      <s:c r="C9" s="25"/>
      <s:c r="D9" s="49"/>
      <s:c r="E9" s="50"/>
      <s:c r="F9" s="74"/>
      <s:c r="G9" s="79"/>
      <s:c r="H9" s="26"/>
      <s:c r="I9" s="80"/>
      <s:c r="J9" s="76"/>
      <s:c r="K9" s="26"/>
      <s:c r="L9" s="27"/>
      <s:c r="M9" s="79"/>
      <s:c r="N9" s="26"/>
      <s:c r="O9" s="80"/>
      <s:c r="P9" s="76"/>
      <s:c r="Q9" s="26"/>
      <s:c r="R9" s="27"/>
      <s:c r="S9" s="79"/>
      <s:c r="T9" s="26"/>
      <s:c r="U9" s="80"/>
      <s:c r="V9" s="76"/>
      <s:c r="W9" s="26"/>
      <s:c r="X9" s="27"/>
      <s:c r="Y9" s="79"/>
      <s:c r="Z9" s="26"/>
      <s:c r="AA9" s="80"/>
      <s:c r="AB9" s="76"/>
      <s:c r="AC9" s="26"/>
      <s:c r="AD9" s="27"/>
      <s:c r="AE9" s="79"/>
      <s:c r="AF9" s="26"/>
      <s:c r="AG9" s="80"/>
      <s:c r="AH9" s="76"/>
      <s:c r="AI9" s="26"/>
      <s:c r="AJ9" s="27"/>
      <s:c r="AK9" s="79"/>
      <s:c r="AL9" s="26"/>
      <s:c r="AM9" s="80"/>
      <s:c r="AN9" s="76"/>
      <s:c r="AO9" s="26"/>
      <s:c r="AP9" s="27"/>
      <s:c r="AQ9" s="79"/>
      <s:c r="AR9" s="26"/>
      <s:c r="AS9" s="80"/>
      <s:c r="AT9" s="76"/>
      <s:c r="AU9" s="26"/>
      <s:c r="AV9" s="27"/>
      <s:c r="AW9" s="79"/>
      <s:c r="AX9" s="26"/>
      <s:c r="AY9" s="80"/>
      <s:c r="AZ9" s="76"/>
      <s:c r="BA9" s="26"/>
      <s:c r="BB9" s="27"/>
      <s:c r="BC9" s="79"/>
      <s:c r="BD9" s="26"/>
      <s:c r="BE9" s="80"/>
      <s:c r="BF9" s="76"/>
      <s:c r="BG9" s="26"/>
      <s:c r="BH9" s="27"/>
      <s:c r="BI9" s="79"/>
      <s:c r="BJ9" s="26"/>
      <s:c r="BK9" s="80"/>
      <s:c r="BL9" s="76"/>
      <s:c r="BM9" s="26"/>
      <s:c r="BN9" s="27"/>
      <s:c r="BO9" s="79"/>
      <s:c r="BP9" s="26"/>
      <s:c r="BQ9" s="80"/>
      <s:c r="BR9" s="76"/>
      <s:c r="BS9" s="26"/>
      <s:c r="BT9" s="27"/>
      <s:c r="BU9" s="79"/>
      <s:c r="BV9" s="26"/>
      <s:c r="BW9" s="80"/>
      <s:c r="BX9" s="76"/>
      <s:c r="BY9" s="26"/>
      <s:c r="BZ9" s="27"/>
      <s:c r="CA9" s="79"/>
      <s:c r="CB9" s="26"/>
      <s:c r="CC9" s="80"/>
      <s:c r="CD9" s="76"/>
      <s:c r="CE9" s="26"/>
      <s:c r="CF9" s="27"/>
      <s:c r="CG9" s="79"/>
      <s:c r="CH9" s="26"/>
      <s:c r="CI9" s="80"/>
      <s:c r="CJ9" s="76"/>
      <s:c r="CK9" s="26"/>
      <s:c r="CL9" s="27"/>
      <s:c r="CM9" s="79"/>
      <s:c r="CN9" s="26"/>
      <s:c r="CO9" s="80"/>
      <s:c r="CP9" s="76"/>
      <s:c r="CQ9" s="26"/>
      <s:c r="CR9" s="27"/>
      <s:c r="CS9" s="62">
        <s:f>SUMIFS(D9:CR9,$D$3:$CR$3,"З")</s:f>
        <s:v>0</s:v>
      </s:c>
      <s:c r="CT9" s="63">
        <s:f>SUMIFS(D9:CR9,$D$3:$CR$3,"О")</s:f>
        <s:v>0</s:v>
      </s:c>
      <s:c r="CU9" s="63">
        <s:f>SUMIFS(D9:CR9,$D$3:$CR$3,"У")</s:f>
        <s:v>0</s:v>
      </s:c>
      <s:c r="CV9" s="28">
        <s:f>IF(C9="Да",CS9*$D$46+CT9*$D$47+CU9*$D$48,CS9*$C$46+CT9*$C$47+CU9*$C$48)</s:f>
        <s:v>0</s:v>
      </s:c>
      <s:c r="CW9" s="29" t="str">
        <s:f>IF(C9="Нет",CV9,"")</s:f>
        <s:v/>
      </s:c>
      <s:c r="CX9" s="30" t="str">
        <s:f>IF(C9="Да",CV9,"")</s:f>
        <s:v/>
      </s:c>
      <s:c r="CY9" s="30" t="str">
        <s:f>IF(C9="Налич",CV9,"")</s:f>
        <s:v/>
      </s:c>
      <s:c r="CZ9" s="122"/>
    </s:row>
    <s:row r="10" ht="21.75">
      <s:c r="A10" s="23"/>
      <s:c r="B10" s="24"/>
      <s:c r="C10" s="25"/>
      <s:c r="D10" s="49"/>
      <s:c r="E10" s="50"/>
      <s:c r="F10" s="74"/>
      <s:c r="G10" s="79"/>
      <s:c r="H10" s="26"/>
      <s:c r="I10" s="80"/>
      <s:c r="J10" s="76"/>
      <s:c r="K10" s="26"/>
      <s:c r="L10" s="27"/>
      <s:c r="M10" s="79"/>
      <s:c r="N10" s="26"/>
      <s:c r="O10" s="80"/>
      <s:c r="P10" s="76"/>
      <s:c r="Q10" s="26"/>
      <s:c r="R10" s="27"/>
      <s:c r="S10" s="79"/>
      <s:c r="T10" s="26"/>
      <s:c r="U10" s="80"/>
      <s:c r="V10" s="76"/>
      <s:c r="W10" s="26"/>
      <s:c r="X10" s="27"/>
      <s:c r="Y10" s="79"/>
      <s:c r="Z10" s="26"/>
      <s:c r="AA10" s="80"/>
      <s:c r="AB10" s="76"/>
      <s:c r="AC10" s="26"/>
      <s:c r="AD10" s="27"/>
      <s:c r="AE10" s="79"/>
      <s:c r="AF10" s="26"/>
      <s:c r="AG10" s="80"/>
      <s:c r="AH10" s="76"/>
      <s:c r="AI10" s="26"/>
      <s:c r="AJ10" s="27"/>
      <s:c r="AK10" s="79"/>
      <s:c r="AL10" s="26"/>
      <s:c r="AM10" s="80"/>
      <s:c r="AN10" s="76"/>
      <s:c r="AO10" s="26"/>
      <s:c r="AP10" s="27"/>
      <s:c r="AQ10" s="79"/>
      <s:c r="AR10" s="26"/>
      <s:c r="AS10" s="80"/>
      <s:c r="AT10" s="76"/>
      <s:c r="AU10" s="26"/>
      <s:c r="AV10" s="27"/>
      <s:c r="AW10" s="79"/>
      <s:c r="AX10" s="26"/>
      <s:c r="AY10" s="80"/>
      <s:c r="AZ10" s="76"/>
      <s:c r="BA10" s="26"/>
      <s:c r="BB10" s="27"/>
      <s:c r="BC10" s="79"/>
      <s:c r="BD10" s="26"/>
      <s:c r="BE10" s="80"/>
      <s:c r="BF10" s="76"/>
      <s:c r="BG10" s="26"/>
      <s:c r="BH10" s="27"/>
      <s:c r="BI10" s="79"/>
      <s:c r="BJ10" s="26"/>
      <s:c r="BK10" s="80"/>
      <s:c r="BL10" s="76"/>
      <s:c r="BM10" s="26"/>
      <s:c r="BN10" s="27"/>
      <s:c r="BO10" s="79"/>
      <s:c r="BP10" s="26"/>
      <s:c r="BQ10" s="80"/>
      <s:c r="BR10" s="76"/>
      <s:c r="BS10" s="26"/>
      <s:c r="BT10" s="27"/>
      <s:c r="BU10" s="79"/>
      <s:c r="BV10" s="26"/>
      <s:c r="BW10" s="80"/>
      <s:c r="BX10" s="76"/>
      <s:c r="BY10" s="26"/>
      <s:c r="BZ10" s="27"/>
      <s:c r="CA10" s="79"/>
      <s:c r="CB10" s="26"/>
      <s:c r="CC10" s="80"/>
      <s:c r="CD10" s="76"/>
      <s:c r="CE10" s="26"/>
      <s:c r="CF10" s="27"/>
      <s:c r="CG10" s="79"/>
      <s:c r="CH10" s="26"/>
      <s:c r="CI10" s="80"/>
      <s:c r="CJ10" s="76"/>
      <s:c r="CK10" s="26"/>
      <s:c r="CL10" s="27"/>
      <s:c r="CM10" s="79"/>
      <s:c r="CN10" s="26"/>
      <s:c r="CO10" s="80"/>
      <s:c r="CP10" s="76"/>
      <s:c r="CQ10" s="26"/>
      <s:c r="CR10" s="27"/>
      <s:c r="CS10" s="62">
        <s:f>SUMIFS(D10:CR10,$D$3:$CR$3,"З")</s:f>
        <s:v>0</s:v>
      </s:c>
      <s:c r="CT10" s="63">
        <s:f>SUMIFS(D10:CR10,$D$3:$CR$3,"О")</s:f>
        <s:v>0</s:v>
      </s:c>
      <s:c r="CU10" s="63">
        <s:f>SUMIFS(D10:CR10,$D$3:$CR$3,"У")</s:f>
        <s:v>0</s:v>
      </s:c>
      <s:c r="CV10" s="28">
        <s:f>IF(C10="Да",CS10*$D$46+CT10*$D$47+CU10*$D$48,CS10*$C$46+CT10*$C$47+CU10*$C$48)</s:f>
        <s:v>0</s:v>
      </s:c>
      <s:c r="CW10" s="29" t="str">
        <s:f>IF(C10="Нет",CV10,"")</s:f>
        <s:v/>
      </s:c>
      <s:c r="CX10" s="30" t="str">
        <s:f>IF(C10="Да",CV10,"")</s:f>
        <s:v/>
      </s:c>
      <s:c r="CY10" s="30" t="str">
        <s:f>IF(C10="Налич",CV10,"")</s:f>
        <s:v/>
      </s:c>
      <s:c r="CZ10" s="122"/>
    </s:row>
    <s:row r="11" ht="21.75">
      <s:c r="A11" s="23"/>
      <s:c r="B11" s="24"/>
      <s:c r="C11" s="25"/>
      <s:c r="D11" s="49"/>
      <s:c r="E11" s="50"/>
      <s:c r="F11" s="74"/>
      <s:c r="G11" s="79"/>
      <s:c r="H11" s="26"/>
      <s:c r="I11" s="80"/>
      <s:c r="J11" s="76"/>
      <s:c r="K11" s="26"/>
      <s:c r="L11" s="27"/>
      <s:c r="M11" s="79"/>
      <s:c r="N11" s="26"/>
      <s:c r="O11" s="80"/>
      <s:c r="P11" s="76"/>
      <s:c r="Q11" s="26"/>
      <s:c r="R11" s="27"/>
      <s:c r="S11" s="79"/>
      <s:c r="T11" s="26"/>
      <s:c r="U11" s="80"/>
      <s:c r="V11" s="76"/>
      <s:c r="W11" s="26"/>
      <s:c r="X11" s="27"/>
      <s:c r="Y11" s="79"/>
      <s:c r="Z11" s="26"/>
      <s:c r="AA11" s="80"/>
      <s:c r="AB11" s="76"/>
      <s:c r="AC11" s="26"/>
      <s:c r="AD11" s="27"/>
      <s:c r="AE11" s="79"/>
      <s:c r="AF11" s="26"/>
      <s:c r="AG11" s="80"/>
      <s:c r="AH11" s="76"/>
      <s:c r="AI11" s="26"/>
      <s:c r="AJ11" s="27"/>
      <s:c r="AK11" s="79"/>
      <s:c r="AL11" s="26"/>
      <s:c r="AM11" s="80"/>
      <s:c r="AN11" s="76"/>
      <s:c r="AO11" s="26"/>
      <s:c r="AP11" s="27"/>
      <s:c r="AQ11" s="79"/>
      <s:c r="AR11" s="26"/>
      <s:c r="AS11" s="80"/>
      <s:c r="AT11" s="76"/>
      <s:c r="AU11" s="26"/>
      <s:c r="AV11" s="27"/>
      <s:c r="AW11" s="79"/>
      <s:c r="AX11" s="26"/>
      <s:c r="AY11" s="80"/>
      <s:c r="AZ11" s="76"/>
      <s:c r="BA11" s="26"/>
      <s:c r="BB11" s="27"/>
      <s:c r="BC11" s="79"/>
      <s:c r="BD11" s="26"/>
      <s:c r="BE11" s="80"/>
      <s:c r="BF11" s="76"/>
      <s:c r="BG11" s="26"/>
      <s:c r="BH11" s="27"/>
      <s:c r="BI11" s="79"/>
      <s:c r="BJ11" s="26"/>
      <s:c r="BK11" s="80"/>
      <s:c r="BL11" s="76"/>
      <s:c r="BM11" s="26"/>
      <s:c r="BN11" s="27"/>
      <s:c r="BO11" s="79"/>
      <s:c r="BP11" s="26"/>
      <s:c r="BQ11" s="80"/>
      <s:c r="BR11" s="76"/>
      <s:c r="BS11" s="26"/>
      <s:c r="BT11" s="27"/>
      <s:c r="BU11" s="79"/>
      <s:c r="BV11" s="26"/>
      <s:c r="BW11" s="80"/>
      <s:c r="BX11" s="76"/>
      <s:c r="BY11" s="26"/>
      <s:c r="BZ11" s="27"/>
      <s:c r="CA11" s="79"/>
      <s:c r="CB11" s="26"/>
      <s:c r="CC11" s="80"/>
      <s:c r="CD11" s="76"/>
      <s:c r="CE11" s="26"/>
      <s:c r="CF11" s="27"/>
      <s:c r="CG11" s="79"/>
      <s:c r="CH11" s="26"/>
      <s:c r="CI11" s="80"/>
      <s:c r="CJ11" s="76"/>
      <s:c r="CK11" s="26"/>
      <s:c r="CL11" s="27"/>
      <s:c r="CM11" s="79"/>
      <s:c r="CN11" s="26"/>
      <s:c r="CO11" s="80"/>
      <s:c r="CP11" s="76"/>
      <s:c r="CQ11" s="26"/>
      <s:c r="CR11" s="27"/>
      <s:c r="CS11" s="62">
        <s:f>SUMIFS(D11:CR11,$D$3:$CR$3,"З")</s:f>
        <s:v>0</s:v>
      </s:c>
      <s:c r="CT11" s="63">
        <s:f>SUMIFS(D11:CR11,$D$3:$CR$3,"О")</s:f>
        <s:v>0</s:v>
      </s:c>
      <s:c r="CU11" s="63">
        <s:f>SUMIFS(D11:CR11,$D$3:$CR$3,"У")</s:f>
        <s:v>0</s:v>
      </s:c>
      <s:c r="CV11" s="28">
        <s:f>IF(C11="Да",CS11*$D$46+CT11*$D$47+CU11*$D$48,CS11*$C$46+CT11*$C$47+CU11*$C$48)</s:f>
        <s:v>0</s:v>
      </s:c>
      <s:c r="CW11" s="29" t="str">
        <s:f>IF(C11="Нет",CV11,"")</s:f>
        <s:v/>
      </s:c>
      <s:c r="CX11" s="30" t="str">
        <s:f>IF(C11="Да",CV11,"")</s:f>
        <s:v/>
      </s:c>
      <s:c r="CY11" s="30" t="str">
        <s:f>IF(C11="Налич",CV11,"")</s:f>
        <s:v/>
      </s:c>
      <s:c r="CZ11" s="122"/>
    </s:row>
    <s:row r="12" ht="21.75">
      <s:c r="A12" s="23"/>
      <s:c r="B12" s="24"/>
      <s:c r="C12" s="25"/>
      <s:c r="D12" s="49"/>
      <s:c r="E12" s="50"/>
      <s:c r="F12" s="74"/>
      <s:c r="G12" s="79"/>
      <s:c r="H12" s="26"/>
      <s:c r="I12" s="80"/>
      <s:c r="J12" s="76"/>
      <s:c r="K12" s="26"/>
      <s:c r="L12" s="27"/>
      <s:c r="M12" s="79"/>
      <s:c r="N12" s="26"/>
      <s:c r="O12" s="80"/>
      <s:c r="P12" s="76"/>
      <s:c r="Q12" s="26"/>
      <s:c r="R12" s="27"/>
      <s:c r="S12" s="79"/>
      <s:c r="T12" s="26"/>
      <s:c r="U12" s="80"/>
      <s:c r="V12" s="76"/>
      <s:c r="W12" s="26"/>
      <s:c r="X12" s="27"/>
      <s:c r="Y12" s="79"/>
      <s:c r="Z12" s="26"/>
      <s:c r="AA12" s="80"/>
      <s:c r="AB12" s="76"/>
      <s:c r="AC12" s="26"/>
      <s:c r="AD12" s="27"/>
      <s:c r="AE12" s="79"/>
      <s:c r="AF12" s="26"/>
      <s:c r="AG12" s="80"/>
      <s:c r="AH12" s="76"/>
      <s:c r="AI12" s="26"/>
      <s:c r="AJ12" s="27"/>
      <s:c r="AK12" s="79"/>
      <s:c r="AL12" s="26"/>
      <s:c r="AM12" s="80"/>
      <s:c r="AN12" s="76"/>
      <s:c r="AO12" s="26"/>
      <s:c r="AP12" s="27"/>
      <s:c r="AQ12" s="79"/>
      <s:c r="AR12" s="26"/>
      <s:c r="AS12" s="80"/>
      <s:c r="AT12" s="76"/>
      <s:c r="AU12" s="26"/>
      <s:c r="AV12" s="27"/>
      <s:c r="AW12" s="79"/>
      <s:c r="AX12" s="26"/>
      <s:c r="AY12" s="80"/>
      <s:c r="AZ12" s="76"/>
      <s:c r="BA12" s="26"/>
      <s:c r="BB12" s="27"/>
      <s:c r="BC12" s="79"/>
      <s:c r="BD12" s="26"/>
      <s:c r="BE12" s="80"/>
      <s:c r="BF12" s="76"/>
      <s:c r="BG12" s="26"/>
      <s:c r="BH12" s="27"/>
      <s:c r="BI12" s="79"/>
      <s:c r="BJ12" s="26"/>
      <s:c r="BK12" s="80"/>
      <s:c r="BL12" s="76"/>
      <s:c r="BM12" s="26"/>
      <s:c r="BN12" s="27"/>
      <s:c r="BO12" s="79"/>
      <s:c r="BP12" s="26"/>
      <s:c r="BQ12" s="80"/>
      <s:c r="BR12" s="76"/>
      <s:c r="BS12" s="26"/>
      <s:c r="BT12" s="27"/>
      <s:c r="BU12" s="79"/>
      <s:c r="BV12" s="26"/>
      <s:c r="BW12" s="80"/>
      <s:c r="BX12" s="76"/>
      <s:c r="BY12" s="26"/>
      <s:c r="BZ12" s="27"/>
      <s:c r="CA12" s="79"/>
      <s:c r="CB12" s="26"/>
      <s:c r="CC12" s="80"/>
      <s:c r="CD12" s="76"/>
      <s:c r="CE12" s="26"/>
      <s:c r="CF12" s="27"/>
      <s:c r="CG12" s="79"/>
      <s:c r="CH12" s="26"/>
      <s:c r="CI12" s="80"/>
      <s:c r="CJ12" s="76"/>
      <s:c r="CK12" s="26"/>
      <s:c r="CL12" s="27"/>
      <s:c r="CM12" s="79"/>
      <s:c r="CN12" s="26"/>
      <s:c r="CO12" s="80"/>
      <s:c r="CP12" s="76"/>
      <s:c r="CQ12" s="26"/>
      <s:c r="CR12" s="27"/>
      <s:c r="CS12" s="62">
        <s:f>SUMIFS(D12:CR12,$D$3:$CR$3,"З")</s:f>
        <s:v>0</s:v>
      </s:c>
      <s:c r="CT12" s="63">
        <s:f>SUMIFS(D12:CR12,$D$3:$CR$3,"О")</s:f>
        <s:v>0</s:v>
      </s:c>
      <s:c r="CU12" s="63">
        <s:f>SUMIFS(D12:CR12,$D$3:$CR$3,"У")</s:f>
        <s:v>0</s:v>
      </s:c>
      <s:c r="CV12" s="28">
        <s:f>IF(C12="Да",CS12*$D$46+CT12*$D$47+CU12*$D$48,CS12*$C$46+CT12*$C$47+CU12*$C$48)</s:f>
        <s:v>0</s:v>
      </s:c>
      <s:c r="CW12" s="29" t="str">
        <s:f>IF(C12="Нет",CV12,"")</s:f>
        <s:v/>
      </s:c>
      <s:c r="CX12" s="30" t="str">
        <s:f>IF(C12="Да",CV12,"")</s:f>
        <s:v/>
      </s:c>
      <s:c r="CY12" s="30" t="str">
        <s:f>IF(C12="Налич",CV12,"")</s:f>
        <s:v/>
      </s:c>
      <s:c r="CZ12" s="122"/>
    </s:row>
    <s:row r="13" ht="21.75">
      <s:c r="A13" s="23"/>
      <s:c r="B13" s="24"/>
      <s:c r="C13" s="25"/>
      <s:c r="D13" s="49"/>
      <s:c r="E13" s="50"/>
      <s:c r="F13" s="74"/>
      <s:c r="G13" s="79"/>
      <s:c r="H13" s="26"/>
      <s:c r="I13" s="80"/>
      <s:c r="J13" s="76"/>
      <s:c r="K13" s="26"/>
      <s:c r="L13" s="27"/>
      <s:c r="M13" s="79"/>
      <s:c r="N13" s="26"/>
      <s:c r="O13" s="80"/>
      <s:c r="P13" s="76"/>
      <s:c r="Q13" s="26"/>
      <s:c r="R13" s="27"/>
      <s:c r="S13" s="79"/>
      <s:c r="T13" s="26"/>
      <s:c r="U13" s="80"/>
      <s:c r="V13" s="76"/>
      <s:c r="W13" s="26"/>
      <s:c r="X13" s="27"/>
      <s:c r="Y13" s="79"/>
      <s:c r="Z13" s="26"/>
      <s:c r="AA13" s="80"/>
      <s:c r="AB13" s="76"/>
      <s:c r="AC13" s="26"/>
      <s:c r="AD13" s="27"/>
      <s:c r="AE13" s="79"/>
      <s:c r="AF13" s="26"/>
      <s:c r="AG13" s="80"/>
      <s:c r="AH13" s="76"/>
      <s:c r="AI13" s="26"/>
      <s:c r="AJ13" s="27"/>
      <s:c r="AK13" s="79"/>
      <s:c r="AL13" s="26"/>
      <s:c r="AM13" s="80"/>
      <s:c r="AN13" s="76"/>
      <s:c r="AO13" s="26"/>
      <s:c r="AP13" s="27"/>
      <s:c r="AQ13" s="79"/>
      <s:c r="AR13" s="26"/>
      <s:c r="AS13" s="80"/>
      <s:c r="AT13" s="76"/>
      <s:c r="AU13" s="26"/>
      <s:c r="AV13" s="27"/>
      <s:c r="AW13" s="79"/>
      <s:c r="AX13" s="26"/>
      <s:c r="AY13" s="80"/>
      <s:c r="AZ13" s="76"/>
      <s:c r="BA13" s="26"/>
      <s:c r="BB13" s="27"/>
      <s:c r="BC13" s="79"/>
      <s:c r="BD13" s="26"/>
      <s:c r="BE13" s="80"/>
      <s:c r="BF13" s="76"/>
      <s:c r="BG13" s="26"/>
      <s:c r="BH13" s="27"/>
      <s:c r="BI13" s="79"/>
      <s:c r="BJ13" s="26"/>
      <s:c r="BK13" s="80"/>
      <s:c r="BL13" s="76"/>
      <s:c r="BM13" s="26"/>
      <s:c r="BN13" s="27"/>
      <s:c r="BO13" s="79"/>
      <s:c r="BP13" s="26"/>
      <s:c r="BQ13" s="80"/>
      <s:c r="BR13" s="76"/>
      <s:c r="BS13" s="26"/>
      <s:c r="BT13" s="27"/>
      <s:c r="BU13" s="79"/>
      <s:c r="BV13" s="26"/>
      <s:c r="BW13" s="80"/>
      <s:c r="BX13" s="76"/>
      <s:c r="BY13" s="26"/>
      <s:c r="BZ13" s="27"/>
      <s:c r="CA13" s="79"/>
      <s:c r="CB13" s="26"/>
      <s:c r="CC13" s="80"/>
      <s:c r="CD13" s="76"/>
      <s:c r="CE13" s="26"/>
      <s:c r="CF13" s="27"/>
      <s:c r="CG13" s="79"/>
      <s:c r="CH13" s="26"/>
      <s:c r="CI13" s="80"/>
      <s:c r="CJ13" s="76"/>
      <s:c r="CK13" s="26"/>
      <s:c r="CL13" s="27"/>
      <s:c r="CM13" s="79"/>
      <s:c r="CN13" s="26"/>
      <s:c r="CO13" s="80"/>
      <s:c r="CP13" s="76"/>
      <s:c r="CQ13" s="26"/>
      <s:c r="CR13" s="27"/>
      <s:c r="CS13" s="62">
        <s:f>SUMIFS(D13:CR13,$D$3:$CR$3,"З")</s:f>
        <s:v>0</s:v>
      </s:c>
      <s:c r="CT13" s="63">
        <s:f>SUMIFS(D13:CR13,$D$3:$CR$3,"О")</s:f>
        <s:v>0</s:v>
      </s:c>
      <s:c r="CU13" s="63">
        <s:f>SUMIFS(D13:CR13,$D$3:$CR$3,"У")</s:f>
        <s:v>0</s:v>
      </s:c>
      <s:c r="CV13" s="28">
        <s:f>IF(C13="Да",CS13*$D$46+CT13*$D$47+CU13*$D$48,CS13*$C$46+CT13*$C$47+CU13*$C$48)</s:f>
        <s:v>0</s:v>
      </s:c>
      <s:c r="CW13" s="29" t="str">
        <s:f>IF(C13="Нет",CV13,"")</s:f>
        <s:v/>
      </s:c>
      <s:c r="CX13" s="30" t="str">
        <s:f>IF(C13="Да",CV13,"")</s:f>
        <s:v/>
      </s:c>
      <s:c r="CY13" s="30" t="str">
        <s:f>IF(C13="Налич",CV13,"")</s:f>
        <s:v/>
      </s:c>
      <s:c r="CZ13" s="122"/>
    </s:row>
    <s:row r="14" ht="21.75">
      <s:c r="A14" s="23"/>
      <s:c r="B14" s="24"/>
      <s:c r="C14" s="25"/>
      <s:c r="D14" s="49"/>
      <s:c r="E14" s="50"/>
      <s:c r="F14" s="74"/>
      <s:c r="G14" s="79"/>
      <s:c r="H14" s="26"/>
      <s:c r="I14" s="80"/>
      <s:c r="J14" s="76"/>
      <s:c r="K14" s="26"/>
      <s:c r="L14" s="27"/>
      <s:c r="M14" s="79"/>
      <s:c r="N14" s="26"/>
      <s:c r="O14" s="80"/>
      <s:c r="P14" s="76"/>
      <s:c r="Q14" s="26"/>
      <s:c r="R14" s="27"/>
      <s:c r="S14" s="79"/>
      <s:c r="T14" s="26"/>
      <s:c r="U14" s="80"/>
      <s:c r="V14" s="76"/>
      <s:c r="W14" s="26"/>
      <s:c r="X14" s="27"/>
      <s:c r="Y14" s="79"/>
      <s:c r="Z14" s="26"/>
      <s:c r="AA14" s="80"/>
      <s:c r="AB14" s="76"/>
      <s:c r="AC14" s="26"/>
      <s:c r="AD14" s="27"/>
      <s:c r="AE14" s="79"/>
      <s:c r="AF14" s="26"/>
      <s:c r="AG14" s="80"/>
      <s:c r="AH14" s="76"/>
      <s:c r="AI14" s="26"/>
      <s:c r="AJ14" s="27"/>
      <s:c r="AK14" s="79"/>
      <s:c r="AL14" s="26"/>
      <s:c r="AM14" s="80"/>
      <s:c r="AN14" s="76"/>
      <s:c r="AO14" s="26"/>
      <s:c r="AP14" s="27"/>
      <s:c r="AQ14" s="79"/>
      <s:c r="AR14" s="26"/>
      <s:c r="AS14" s="80"/>
      <s:c r="AT14" s="76"/>
      <s:c r="AU14" s="26"/>
      <s:c r="AV14" s="27"/>
      <s:c r="AW14" s="79"/>
      <s:c r="AX14" s="26"/>
      <s:c r="AY14" s="80"/>
      <s:c r="AZ14" s="76"/>
      <s:c r="BA14" s="26"/>
      <s:c r="BB14" s="27"/>
      <s:c r="BC14" s="79"/>
      <s:c r="BD14" s="26"/>
      <s:c r="BE14" s="80"/>
      <s:c r="BF14" s="76"/>
      <s:c r="BG14" s="26"/>
      <s:c r="BH14" s="27"/>
      <s:c r="BI14" s="79"/>
      <s:c r="BJ14" s="26"/>
      <s:c r="BK14" s="80"/>
      <s:c r="BL14" s="76"/>
      <s:c r="BM14" s="26"/>
      <s:c r="BN14" s="27"/>
      <s:c r="BO14" s="79"/>
      <s:c r="BP14" s="26"/>
      <s:c r="BQ14" s="80"/>
      <s:c r="BR14" s="76"/>
      <s:c r="BS14" s="26"/>
      <s:c r="BT14" s="27"/>
      <s:c r="BU14" s="79"/>
      <s:c r="BV14" s="26"/>
      <s:c r="BW14" s="80"/>
      <s:c r="BX14" s="76"/>
      <s:c r="BY14" s="26"/>
      <s:c r="BZ14" s="27"/>
      <s:c r="CA14" s="79"/>
      <s:c r="CB14" s="26"/>
      <s:c r="CC14" s="80"/>
      <s:c r="CD14" s="76"/>
      <s:c r="CE14" s="26"/>
      <s:c r="CF14" s="27"/>
      <s:c r="CG14" s="79"/>
      <s:c r="CH14" s="26"/>
      <s:c r="CI14" s="80"/>
      <s:c r="CJ14" s="76"/>
      <s:c r="CK14" s="26"/>
      <s:c r="CL14" s="27"/>
      <s:c r="CM14" s="79"/>
      <s:c r="CN14" s="26"/>
      <s:c r="CO14" s="80"/>
      <s:c r="CP14" s="76"/>
      <s:c r="CQ14" s="26"/>
      <s:c r="CR14" s="27"/>
      <s:c r="CS14" s="62">
        <s:f>SUMIFS(D14:CR14,$D$3:$CR$3,"З")</s:f>
        <s:v>0</s:v>
      </s:c>
      <s:c r="CT14" s="63">
        <s:f>SUMIFS(D14:CR14,$D$3:$CR$3,"О")</s:f>
        <s:v>0</s:v>
      </s:c>
      <s:c r="CU14" s="63">
        <s:f>SUMIFS(D14:CR14,$D$3:$CR$3,"У")</s:f>
        <s:v>0</s:v>
      </s:c>
      <s:c r="CV14" s="28">
        <s:f>IF(C14="Да",CS14*$D$46+CT14*$D$47+CU14*$D$48,CS14*$C$46+CT14*$C$47+CU14*$C$48)</s:f>
        <s:v>0</s:v>
      </s:c>
      <s:c r="CW14" s="29" t="str">
        <s:f>IF(C14="Нет",CV14,"")</s:f>
        <s:v/>
      </s:c>
      <s:c r="CX14" s="30" t="str">
        <s:f>IF(C14="Да",CV14,"")</s:f>
        <s:v/>
      </s:c>
      <s:c r="CY14" s="30" t="str">
        <s:f>IF(C14="Налич",CV14,"")</s:f>
        <s:v/>
      </s:c>
      <s:c r="CZ14" s="122"/>
    </s:row>
    <s:row r="15" ht="21.75">
      <s:c r="A15" s="23"/>
      <s:c r="B15" s="24"/>
      <s:c r="C15" s="25"/>
      <s:c r="D15" s="49"/>
      <s:c r="E15" s="50"/>
      <s:c r="F15" s="74"/>
      <s:c r="G15" s="79"/>
      <s:c r="H15" s="26"/>
      <s:c r="I15" s="80"/>
      <s:c r="J15" s="76"/>
      <s:c r="K15" s="26"/>
      <s:c r="L15" s="27"/>
      <s:c r="M15" s="79"/>
      <s:c r="N15" s="26"/>
      <s:c r="O15" s="80"/>
      <s:c r="P15" s="76"/>
      <s:c r="Q15" s="26"/>
      <s:c r="R15" s="27"/>
      <s:c r="S15" s="79"/>
      <s:c r="T15" s="26"/>
      <s:c r="U15" s="80"/>
      <s:c r="V15" s="76"/>
      <s:c r="W15" s="26"/>
      <s:c r="X15" s="27"/>
      <s:c r="Y15" s="79"/>
      <s:c r="Z15" s="26"/>
      <s:c r="AA15" s="80"/>
      <s:c r="AB15" s="76"/>
      <s:c r="AC15" s="26"/>
      <s:c r="AD15" s="27"/>
      <s:c r="AE15" s="79"/>
      <s:c r="AF15" s="26"/>
      <s:c r="AG15" s="80"/>
      <s:c r="AH15" s="76"/>
      <s:c r="AI15" s="26"/>
      <s:c r="AJ15" s="27"/>
      <s:c r="AK15" s="79"/>
      <s:c r="AL15" s="26"/>
      <s:c r="AM15" s="80"/>
      <s:c r="AN15" s="76"/>
      <s:c r="AO15" s="26"/>
      <s:c r="AP15" s="27"/>
      <s:c r="AQ15" s="79"/>
      <s:c r="AR15" s="26"/>
      <s:c r="AS15" s="80"/>
      <s:c r="AT15" s="76"/>
      <s:c r="AU15" s="26"/>
      <s:c r="AV15" s="27"/>
      <s:c r="AW15" s="79"/>
      <s:c r="AX15" s="26"/>
      <s:c r="AY15" s="80"/>
      <s:c r="AZ15" s="76"/>
      <s:c r="BA15" s="26"/>
      <s:c r="BB15" s="27"/>
      <s:c r="BC15" s="79"/>
      <s:c r="BD15" s="26"/>
      <s:c r="BE15" s="80"/>
      <s:c r="BF15" s="76"/>
      <s:c r="BG15" s="26"/>
      <s:c r="BH15" s="27"/>
      <s:c r="BI15" s="79"/>
      <s:c r="BJ15" s="26"/>
      <s:c r="BK15" s="80"/>
      <s:c r="BL15" s="76"/>
      <s:c r="BM15" s="26"/>
      <s:c r="BN15" s="27"/>
      <s:c r="BO15" s="79"/>
      <s:c r="BP15" s="26"/>
      <s:c r="BQ15" s="80"/>
      <s:c r="BR15" s="76"/>
      <s:c r="BS15" s="26"/>
      <s:c r="BT15" s="27"/>
      <s:c r="BU15" s="79"/>
      <s:c r="BV15" s="26"/>
      <s:c r="BW15" s="80"/>
      <s:c r="BX15" s="76"/>
      <s:c r="BY15" s="26"/>
      <s:c r="BZ15" s="27"/>
      <s:c r="CA15" s="79"/>
      <s:c r="CB15" s="26"/>
      <s:c r="CC15" s="80"/>
      <s:c r="CD15" s="76"/>
      <s:c r="CE15" s="26"/>
      <s:c r="CF15" s="27"/>
      <s:c r="CG15" s="79"/>
      <s:c r="CH15" s="26"/>
      <s:c r="CI15" s="80"/>
      <s:c r="CJ15" s="76"/>
      <s:c r="CK15" s="26"/>
      <s:c r="CL15" s="27"/>
      <s:c r="CM15" s="79"/>
      <s:c r="CN15" s="26"/>
      <s:c r="CO15" s="80"/>
      <s:c r="CP15" s="76"/>
      <s:c r="CQ15" s="26"/>
      <s:c r="CR15" s="27"/>
      <s:c r="CS15" s="62">
        <s:f>SUMIFS(D15:CR15,$D$3:$CR$3,"З")</s:f>
        <s:v>0</s:v>
      </s:c>
      <s:c r="CT15" s="63">
        <s:f>SUMIFS(D15:CR15,$D$3:$CR$3,"О")</s:f>
        <s:v>0</s:v>
      </s:c>
      <s:c r="CU15" s="63">
        <s:f>SUMIFS(D15:CR15,$D$3:$CR$3,"У")</s:f>
        <s:v>0</s:v>
      </s:c>
      <s:c r="CV15" s="28">
        <s:f>IF(C15="Да",CS15*$D$46+CT15*$D$47+CU15*$D$48,CS15*$C$46+CT15*$C$47+CU15*$C$48)</s:f>
        <s:v>0</s:v>
      </s:c>
      <s:c r="CW15" s="29" t="str">
        <s:f>IF(C15="Нет",CV15,"")</s:f>
        <s:v/>
      </s:c>
      <s:c r="CX15" s="30" t="str">
        <s:f>IF(C15="Да",CV15,"")</s:f>
        <s:v/>
      </s:c>
      <s:c r="CY15" s="30" t="str">
        <s:f>IF(C15="Налич",CV15,"")</s:f>
        <s:v/>
      </s:c>
      <s:c r="CZ15" s="122"/>
    </s:row>
    <s:row r="16" ht="21.75">
      <s:c r="A16" s="23"/>
      <s:c r="B16" s="24"/>
      <s:c r="C16" s="25"/>
      <s:c r="D16" s="49"/>
      <s:c r="E16" s="50"/>
      <s:c r="F16" s="74"/>
      <s:c r="G16" s="79"/>
      <s:c r="H16" s="26"/>
      <s:c r="I16" s="80"/>
      <s:c r="J16" s="76"/>
      <s:c r="K16" s="26"/>
      <s:c r="L16" s="27"/>
      <s:c r="M16" s="79"/>
      <s:c r="N16" s="26"/>
      <s:c r="O16" s="80"/>
      <s:c r="P16" s="76"/>
      <s:c r="Q16" s="26"/>
      <s:c r="R16" s="27"/>
      <s:c r="S16" s="79"/>
      <s:c r="T16" s="26"/>
      <s:c r="U16" s="80"/>
      <s:c r="V16" s="76"/>
      <s:c r="W16" s="26"/>
      <s:c r="X16" s="27"/>
      <s:c r="Y16" s="79"/>
      <s:c r="Z16" s="26"/>
      <s:c r="AA16" s="80"/>
      <s:c r="AB16" s="76"/>
      <s:c r="AC16" s="26"/>
      <s:c r="AD16" s="27"/>
      <s:c r="AE16" s="79"/>
      <s:c r="AF16" s="26"/>
      <s:c r="AG16" s="80"/>
      <s:c r="AH16" s="76"/>
      <s:c r="AI16" s="26"/>
      <s:c r="AJ16" s="27"/>
      <s:c r="AK16" s="79"/>
      <s:c r="AL16" s="26"/>
      <s:c r="AM16" s="80"/>
      <s:c r="AN16" s="76"/>
      <s:c r="AO16" s="26"/>
      <s:c r="AP16" s="27"/>
      <s:c r="AQ16" s="79"/>
      <s:c r="AR16" s="26"/>
      <s:c r="AS16" s="80"/>
      <s:c r="AT16" s="76"/>
      <s:c r="AU16" s="26"/>
      <s:c r="AV16" s="27"/>
      <s:c r="AW16" s="79"/>
      <s:c r="AX16" s="26"/>
      <s:c r="AY16" s="80"/>
      <s:c r="AZ16" s="76"/>
      <s:c r="BA16" s="26"/>
      <s:c r="BB16" s="27"/>
      <s:c r="BC16" s="79"/>
      <s:c r="BD16" s="26"/>
      <s:c r="BE16" s="80"/>
      <s:c r="BF16" s="76"/>
      <s:c r="BG16" s="26"/>
      <s:c r="BH16" s="27"/>
      <s:c r="BI16" s="79"/>
      <s:c r="BJ16" s="26"/>
      <s:c r="BK16" s="80"/>
      <s:c r="BL16" s="76"/>
      <s:c r="BM16" s="26"/>
      <s:c r="BN16" s="27"/>
      <s:c r="BO16" s="79"/>
      <s:c r="BP16" s="26"/>
      <s:c r="BQ16" s="80"/>
      <s:c r="BR16" s="76"/>
      <s:c r="BS16" s="26"/>
      <s:c r="BT16" s="27"/>
      <s:c r="BU16" s="79"/>
      <s:c r="BV16" s="26"/>
      <s:c r="BW16" s="80"/>
      <s:c r="BX16" s="76"/>
      <s:c r="BY16" s="26"/>
      <s:c r="BZ16" s="27"/>
      <s:c r="CA16" s="79"/>
      <s:c r="CB16" s="26"/>
      <s:c r="CC16" s="80"/>
      <s:c r="CD16" s="76"/>
      <s:c r="CE16" s="26"/>
      <s:c r="CF16" s="27"/>
      <s:c r="CG16" s="79"/>
      <s:c r="CH16" s="26"/>
      <s:c r="CI16" s="80"/>
      <s:c r="CJ16" s="76"/>
      <s:c r="CK16" s="26"/>
      <s:c r="CL16" s="27"/>
      <s:c r="CM16" s="79"/>
      <s:c r="CN16" s="26"/>
      <s:c r="CO16" s="80"/>
      <s:c r="CP16" s="76"/>
      <s:c r="CQ16" s="26"/>
      <s:c r="CR16" s="27"/>
      <s:c r="CS16" s="62">
        <s:f>SUMIFS(D16:CR16,$D$3:$CR$3,"З")</s:f>
        <s:v>0</s:v>
      </s:c>
      <s:c r="CT16" s="63">
        <s:f>SUMIFS(D16:CR16,$D$3:$CR$3,"О")</s:f>
        <s:v>0</s:v>
      </s:c>
      <s:c r="CU16" s="63">
        <s:f>SUMIFS(D16:CR16,$D$3:$CR$3,"У")</s:f>
        <s:v>0</s:v>
      </s:c>
      <s:c r="CV16" s="28">
        <s:f>IF(C16="Да",CS16*$D$46+CT16*$D$47+CU16*$D$48,CS16*$C$46+CT16*$C$47+CU16*$C$48)</s:f>
        <s:v>0</s:v>
      </s:c>
      <s:c r="CW16" s="29" t="str">
        <s:f>IF(C16="Нет",CV16,"")</s:f>
        <s:v/>
      </s:c>
      <s:c r="CX16" s="30" t="str">
        <s:f>IF(C16="Да",CV16,"")</s:f>
        <s:v/>
      </s:c>
      <s:c r="CY16" s="30" t="str">
        <s:f>IF(C16="Налич",CV16,"")</s:f>
        <s:v/>
      </s:c>
      <s:c r="CZ16" s="122"/>
    </s:row>
    <s:row r="17" ht="21.75">
      <s:c r="A17" s="23"/>
      <s:c r="B17" s="24"/>
      <s:c r="C17" s="25"/>
      <s:c r="D17" s="49"/>
      <s:c r="E17" s="50"/>
      <s:c r="F17" s="74"/>
      <s:c r="G17" s="79"/>
      <s:c r="H17" s="26"/>
      <s:c r="I17" s="80"/>
      <s:c r="J17" s="76"/>
      <s:c r="K17" s="26"/>
      <s:c r="L17" s="27"/>
      <s:c r="M17" s="79"/>
      <s:c r="N17" s="26"/>
      <s:c r="O17" s="80"/>
      <s:c r="P17" s="76"/>
      <s:c r="Q17" s="26"/>
      <s:c r="R17" s="27"/>
      <s:c r="S17" s="79"/>
      <s:c r="T17" s="26"/>
      <s:c r="U17" s="80"/>
      <s:c r="V17" s="76"/>
      <s:c r="W17" s="26"/>
      <s:c r="X17" s="27"/>
      <s:c r="Y17" s="79"/>
      <s:c r="Z17" s="26"/>
      <s:c r="AA17" s="80"/>
      <s:c r="AB17" s="76"/>
      <s:c r="AC17" s="26"/>
      <s:c r="AD17" s="27"/>
      <s:c r="AE17" s="79"/>
      <s:c r="AF17" s="26"/>
      <s:c r="AG17" s="80"/>
      <s:c r="AH17" s="76"/>
      <s:c r="AI17" s="26"/>
      <s:c r="AJ17" s="27"/>
      <s:c r="AK17" s="79"/>
      <s:c r="AL17" s="26"/>
      <s:c r="AM17" s="80"/>
      <s:c r="AN17" s="76"/>
      <s:c r="AO17" s="26"/>
      <s:c r="AP17" s="27"/>
      <s:c r="AQ17" s="79"/>
      <s:c r="AR17" s="26"/>
      <s:c r="AS17" s="80"/>
      <s:c r="AT17" s="76"/>
      <s:c r="AU17" s="26"/>
      <s:c r="AV17" s="27"/>
      <s:c r="AW17" s="79"/>
      <s:c r="AX17" s="26"/>
      <s:c r="AY17" s="80"/>
      <s:c r="AZ17" s="76"/>
      <s:c r="BA17" s="26"/>
      <s:c r="BB17" s="27"/>
      <s:c r="BC17" s="79"/>
      <s:c r="BD17" s="26"/>
      <s:c r="BE17" s="80"/>
      <s:c r="BF17" s="76"/>
      <s:c r="BG17" s="26"/>
      <s:c r="BH17" s="27"/>
      <s:c r="BI17" s="79"/>
      <s:c r="BJ17" s="26"/>
      <s:c r="BK17" s="80"/>
      <s:c r="BL17" s="76"/>
      <s:c r="BM17" s="26"/>
      <s:c r="BN17" s="27"/>
      <s:c r="BO17" s="79"/>
      <s:c r="BP17" s="26"/>
      <s:c r="BQ17" s="80"/>
      <s:c r="BR17" s="76"/>
      <s:c r="BS17" s="26"/>
      <s:c r="BT17" s="27"/>
      <s:c r="BU17" s="79"/>
      <s:c r="BV17" s="26"/>
      <s:c r="BW17" s="80"/>
      <s:c r="BX17" s="76"/>
      <s:c r="BY17" s="26"/>
      <s:c r="BZ17" s="27"/>
      <s:c r="CA17" s="79"/>
      <s:c r="CB17" s="26"/>
      <s:c r="CC17" s="80"/>
      <s:c r="CD17" s="76"/>
      <s:c r="CE17" s="26"/>
      <s:c r="CF17" s="27"/>
      <s:c r="CG17" s="79"/>
      <s:c r="CH17" s="26"/>
      <s:c r="CI17" s="80"/>
      <s:c r="CJ17" s="76"/>
      <s:c r="CK17" s="26"/>
      <s:c r="CL17" s="27"/>
      <s:c r="CM17" s="79"/>
      <s:c r="CN17" s="26"/>
      <s:c r="CO17" s="80"/>
      <s:c r="CP17" s="76"/>
      <s:c r="CQ17" s="26"/>
      <s:c r="CR17" s="27"/>
      <s:c r="CS17" s="62">
        <s:f>SUMIFS(D17:CR17,$D$3:$CR$3,"З")</s:f>
        <s:v>0</s:v>
      </s:c>
      <s:c r="CT17" s="63">
        <s:f>SUMIFS(D17:CR17,$D$3:$CR$3,"О")</s:f>
        <s:v>0</s:v>
      </s:c>
      <s:c r="CU17" s="63">
        <s:f>SUMIFS(D17:CR17,$D$3:$CR$3,"У")</s:f>
        <s:v>0</s:v>
      </s:c>
      <s:c r="CV17" s="28">
        <s:f>IF(C17="Да",CS17*$D$46+CT17*$D$47+CU17*$D$48,CS17*$C$46+CT17*$C$47+CU17*$C$48)</s:f>
        <s:v>0</s:v>
      </s:c>
      <s:c r="CW17" s="29" t="str">
        <s:f>IF(C17="Нет",CV17,"")</s:f>
        <s:v/>
      </s:c>
      <s:c r="CX17" s="30" t="str">
        <s:f>IF(C17="Да",CV17,"")</s:f>
        <s:v/>
      </s:c>
      <s:c r="CY17" s="30" t="str">
        <s:f>IF(C17="Налич",CV17,"")</s:f>
        <s:v/>
      </s:c>
      <s:c r="CZ17" s="122"/>
    </s:row>
    <s:row r="18" ht="21.75">
      <s:c r="A18" s="23"/>
      <s:c r="B18" s="24"/>
      <s:c r="C18" s="25"/>
      <s:c r="D18" s="49"/>
      <s:c r="E18" s="50"/>
      <s:c r="F18" s="74"/>
      <s:c r="G18" s="79"/>
      <s:c r="H18" s="26"/>
      <s:c r="I18" s="80"/>
      <s:c r="J18" s="76"/>
      <s:c r="K18" s="26"/>
      <s:c r="L18" s="27"/>
      <s:c r="M18" s="79"/>
      <s:c r="N18" s="26"/>
      <s:c r="O18" s="80"/>
      <s:c r="P18" s="76"/>
      <s:c r="Q18" s="26"/>
      <s:c r="R18" s="27"/>
      <s:c r="S18" s="79"/>
      <s:c r="T18" s="26"/>
      <s:c r="U18" s="80"/>
      <s:c r="V18" s="76"/>
      <s:c r="W18" s="26"/>
      <s:c r="X18" s="27"/>
      <s:c r="Y18" s="79"/>
      <s:c r="Z18" s="26"/>
      <s:c r="AA18" s="80"/>
      <s:c r="AB18" s="76"/>
      <s:c r="AC18" s="26"/>
      <s:c r="AD18" s="27"/>
      <s:c r="AE18" s="79"/>
      <s:c r="AF18" s="26"/>
      <s:c r="AG18" s="80"/>
      <s:c r="AH18" s="76"/>
      <s:c r="AI18" s="26"/>
      <s:c r="AJ18" s="27"/>
      <s:c r="AK18" s="79"/>
      <s:c r="AL18" s="26"/>
      <s:c r="AM18" s="80"/>
      <s:c r="AN18" s="76"/>
      <s:c r="AO18" s="26"/>
      <s:c r="AP18" s="27"/>
      <s:c r="AQ18" s="79"/>
      <s:c r="AR18" s="26"/>
      <s:c r="AS18" s="80"/>
      <s:c r="AT18" s="76"/>
      <s:c r="AU18" s="26"/>
      <s:c r="AV18" s="27"/>
      <s:c r="AW18" s="79"/>
      <s:c r="AX18" s="26"/>
      <s:c r="AY18" s="80"/>
      <s:c r="AZ18" s="76"/>
      <s:c r="BA18" s="26"/>
      <s:c r="BB18" s="27"/>
      <s:c r="BC18" s="79"/>
      <s:c r="BD18" s="26"/>
      <s:c r="BE18" s="80"/>
      <s:c r="BF18" s="76"/>
      <s:c r="BG18" s="26"/>
      <s:c r="BH18" s="27"/>
      <s:c r="BI18" s="79"/>
      <s:c r="BJ18" s="26"/>
      <s:c r="BK18" s="80"/>
      <s:c r="BL18" s="76"/>
      <s:c r="BM18" s="26"/>
      <s:c r="BN18" s="27"/>
      <s:c r="BO18" s="79"/>
      <s:c r="BP18" s="26"/>
      <s:c r="BQ18" s="80"/>
      <s:c r="BR18" s="76"/>
      <s:c r="BS18" s="26"/>
      <s:c r="BT18" s="27"/>
      <s:c r="BU18" s="79"/>
      <s:c r="BV18" s="26"/>
      <s:c r="BW18" s="80"/>
      <s:c r="BX18" s="76"/>
      <s:c r="BY18" s="26"/>
      <s:c r="BZ18" s="27"/>
      <s:c r="CA18" s="79"/>
      <s:c r="CB18" s="26"/>
      <s:c r="CC18" s="80"/>
      <s:c r="CD18" s="76"/>
      <s:c r="CE18" s="26"/>
      <s:c r="CF18" s="27"/>
      <s:c r="CG18" s="79"/>
      <s:c r="CH18" s="26"/>
      <s:c r="CI18" s="80"/>
      <s:c r="CJ18" s="76"/>
      <s:c r="CK18" s="26"/>
      <s:c r="CL18" s="27"/>
      <s:c r="CM18" s="79"/>
      <s:c r="CN18" s="26"/>
      <s:c r="CO18" s="80"/>
      <s:c r="CP18" s="76"/>
      <s:c r="CQ18" s="26"/>
      <s:c r="CR18" s="27"/>
      <s:c r="CS18" s="62">
        <s:f>SUMIFS(D18:CR18,$D$3:$CR$3,"З")</s:f>
        <s:v>0</s:v>
      </s:c>
      <s:c r="CT18" s="63">
        <s:f>SUMIFS(D18:CR18,$D$3:$CR$3,"О")</s:f>
        <s:v>0</s:v>
      </s:c>
      <s:c r="CU18" s="63">
        <s:f>SUMIFS(D18:CR18,$D$3:$CR$3,"У")</s:f>
        <s:v>0</s:v>
      </s:c>
      <s:c r="CV18" s="28">
        <s:f>IF(C18="Да",CS18*$D$46+CT18*$D$47+CU18*$D$48,CS18*$C$46+CT18*$C$47+CU18*$C$48)</s:f>
        <s:v>0</s:v>
      </s:c>
      <s:c r="CW18" s="29" t="str">
        <s:f>IF(C18="Нет",CV18,"")</s:f>
        <s:v/>
      </s:c>
      <s:c r="CX18" s="30" t="str">
        <s:f>IF(C18="Да",CV18,"")</s:f>
        <s:v/>
      </s:c>
      <s:c r="CY18" s="30" t="str">
        <s:f>IF(C18="Налич",CV18,"")</s:f>
        <s:v/>
      </s:c>
    </s:row>
    <s:row r="19" ht="21.75">
      <s:c r="A19" s="23"/>
      <s:c r="B19" s="24"/>
      <s:c r="C19" s="25"/>
      <s:c r="D19" s="49"/>
      <s:c r="E19" s="50"/>
      <s:c r="F19" s="74"/>
      <s:c r="G19" s="79"/>
      <s:c r="H19" s="26"/>
      <s:c r="I19" s="80"/>
      <s:c r="J19" s="76"/>
      <s:c r="K19" s="26"/>
      <s:c r="L19" s="27"/>
      <s:c r="M19" s="79"/>
      <s:c r="N19" s="26"/>
      <s:c r="O19" s="80"/>
      <s:c r="P19" s="76"/>
      <s:c r="Q19" s="26"/>
      <s:c r="R19" s="27"/>
      <s:c r="S19" s="79"/>
      <s:c r="T19" s="26"/>
      <s:c r="U19" s="80"/>
      <s:c r="V19" s="76"/>
      <s:c r="W19" s="26"/>
      <s:c r="X19" s="27"/>
      <s:c r="Y19" s="79"/>
      <s:c r="Z19" s="26"/>
      <s:c r="AA19" s="80"/>
      <s:c r="AB19" s="76"/>
      <s:c r="AC19" s="26"/>
      <s:c r="AD19" s="27"/>
      <s:c r="AE19" s="79"/>
      <s:c r="AF19" s="26"/>
      <s:c r="AG19" s="80"/>
      <s:c r="AH19" s="76"/>
      <s:c r="AI19" s="26"/>
      <s:c r="AJ19" s="27"/>
      <s:c r="AK19" s="79"/>
      <s:c r="AL19" s="26"/>
      <s:c r="AM19" s="80"/>
      <s:c r="AN19" s="76"/>
      <s:c r="AO19" s="26"/>
      <s:c r="AP19" s="27"/>
      <s:c r="AQ19" s="79"/>
      <s:c r="AR19" s="26"/>
      <s:c r="AS19" s="80"/>
      <s:c r="AT19" s="76"/>
      <s:c r="AU19" s="26"/>
      <s:c r="AV19" s="27"/>
      <s:c r="AW19" s="79"/>
      <s:c r="AX19" s="26"/>
      <s:c r="AY19" s="80"/>
      <s:c r="AZ19" s="76"/>
      <s:c r="BA19" s="26"/>
      <s:c r="BB19" s="27"/>
      <s:c r="BC19" s="79"/>
      <s:c r="BD19" s="26"/>
      <s:c r="BE19" s="80"/>
      <s:c r="BF19" s="76"/>
      <s:c r="BG19" s="26"/>
      <s:c r="BH19" s="27"/>
      <s:c r="BI19" s="79"/>
      <s:c r="BJ19" s="26"/>
      <s:c r="BK19" s="80"/>
      <s:c r="BL19" s="76"/>
      <s:c r="BM19" s="26"/>
      <s:c r="BN19" s="27"/>
      <s:c r="BO19" s="79"/>
      <s:c r="BP19" s="26"/>
      <s:c r="BQ19" s="80"/>
      <s:c r="BR19" s="76"/>
      <s:c r="BS19" s="26"/>
      <s:c r="BT19" s="27"/>
      <s:c r="BU19" s="79"/>
      <s:c r="BV19" s="26"/>
      <s:c r="BW19" s="80"/>
      <s:c r="BX19" s="76"/>
      <s:c r="BY19" s="26"/>
      <s:c r="BZ19" s="27"/>
      <s:c r="CA19" s="79"/>
      <s:c r="CB19" s="26"/>
      <s:c r="CC19" s="80"/>
      <s:c r="CD19" s="76"/>
      <s:c r="CE19" s="26"/>
      <s:c r="CF19" s="27"/>
      <s:c r="CG19" s="79"/>
      <s:c r="CH19" s="26"/>
      <s:c r="CI19" s="80"/>
      <s:c r="CJ19" s="76"/>
      <s:c r="CK19" s="26"/>
      <s:c r="CL19" s="27"/>
      <s:c r="CM19" s="79"/>
      <s:c r="CN19" s="26"/>
      <s:c r="CO19" s="80"/>
      <s:c r="CP19" s="76"/>
      <s:c r="CQ19" s="26"/>
      <s:c r="CR19" s="27"/>
      <s:c r="CS19" s="62">
        <s:f>SUMIFS(D19:CR19,$D$3:$CR$3,"З")</s:f>
        <s:v>0</s:v>
      </s:c>
      <s:c r="CT19" s="63">
        <s:f>SUMIFS(D19:CR19,$D$3:$CR$3,"О")</s:f>
        <s:v>0</s:v>
      </s:c>
      <s:c r="CU19" s="63">
        <s:f>SUMIFS(D19:CR19,$D$3:$CR$3,"У")</s:f>
        <s:v>0</s:v>
      </s:c>
      <s:c r="CV19" s="28">
        <s:f>IF(C19="Да",CS19*$D$46+CT19*$D$47+CU19*$D$48,CS19*$C$46+CT19*$C$47+CU19*$C$48)</s:f>
        <s:v>0</s:v>
      </s:c>
      <s:c r="CW19" s="29" t="str">
        <s:f>IF(C19="Нет",CV19,"")</s:f>
        <s:v/>
      </s:c>
      <s:c r="CX19" s="30" t="str">
        <s:f>IF(C19="Да",CV19,"")</s:f>
        <s:v/>
      </s:c>
      <s:c r="CY19" s="30" t="str">
        <s:f>IF(C19="Налич",CV19,"")</s:f>
        <s:v/>
      </s:c>
    </s:row>
    <s:row r="20" ht="21.75">
      <s:c r="A20" s="23"/>
      <s:c r="B20" s="24"/>
      <s:c r="C20" s="25"/>
      <s:c r="D20" s="49"/>
      <s:c r="E20" s="50"/>
      <s:c r="F20" s="74"/>
      <s:c r="G20" s="79"/>
      <s:c r="H20" s="26"/>
      <s:c r="I20" s="80"/>
      <s:c r="J20" s="76"/>
      <s:c r="K20" s="26"/>
      <s:c r="L20" s="27"/>
      <s:c r="M20" s="79"/>
      <s:c r="N20" s="26"/>
      <s:c r="O20" s="80"/>
      <s:c r="P20" s="76"/>
      <s:c r="Q20" s="26"/>
      <s:c r="R20" s="27"/>
      <s:c r="S20" s="79"/>
      <s:c r="T20" s="26"/>
      <s:c r="U20" s="80"/>
      <s:c r="V20" s="76"/>
      <s:c r="W20" s="26"/>
      <s:c r="X20" s="27"/>
      <s:c r="Y20" s="79"/>
      <s:c r="Z20" s="26"/>
      <s:c r="AA20" s="80"/>
      <s:c r="AB20" s="76"/>
      <s:c r="AC20" s="26"/>
      <s:c r="AD20" s="27"/>
      <s:c r="AE20" s="79"/>
      <s:c r="AF20" s="26"/>
      <s:c r="AG20" s="80"/>
      <s:c r="AH20" s="76"/>
      <s:c r="AI20" s="26"/>
      <s:c r="AJ20" s="27"/>
      <s:c r="AK20" s="79"/>
      <s:c r="AL20" s="26"/>
      <s:c r="AM20" s="80"/>
      <s:c r="AN20" s="76"/>
      <s:c r="AO20" s="26"/>
      <s:c r="AP20" s="27"/>
      <s:c r="AQ20" s="79"/>
      <s:c r="AR20" s="26"/>
      <s:c r="AS20" s="80"/>
      <s:c r="AT20" s="76"/>
      <s:c r="AU20" s="26"/>
      <s:c r="AV20" s="27"/>
      <s:c r="AW20" s="79"/>
      <s:c r="AX20" s="26"/>
      <s:c r="AY20" s="80"/>
      <s:c r="AZ20" s="76"/>
      <s:c r="BA20" s="26"/>
      <s:c r="BB20" s="27"/>
      <s:c r="BC20" s="79"/>
      <s:c r="BD20" s="26"/>
      <s:c r="BE20" s="80"/>
      <s:c r="BF20" s="76"/>
      <s:c r="BG20" s="26"/>
      <s:c r="BH20" s="27"/>
      <s:c r="BI20" s="79"/>
      <s:c r="BJ20" s="26"/>
      <s:c r="BK20" s="80"/>
      <s:c r="BL20" s="76"/>
      <s:c r="BM20" s="26"/>
      <s:c r="BN20" s="27"/>
      <s:c r="BO20" s="79"/>
      <s:c r="BP20" s="26"/>
      <s:c r="BQ20" s="80"/>
      <s:c r="BR20" s="76"/>
      <s:c r="BS20" s="26"/>
      <s:c r="BT20" s="27"/>
      <s:c r="BU20" s="79"/>
      <s:c r="BV20" s="26"/>
      <s:c r="BW20" s="80"/>
      <s:c r="BX20" s="76"/>
      <s:c r="BY20" s="26"/>
      <s:c r="BZ20" s="27"/>
      <s:c r="CA20" s="79"/>
      <s:c r="CB20" s="26"/>
      <s:c r="CC20" s="80"/>
      <s:c r="CD20" s="76"/>
      <s:c r="CE20" s="26"/>
      <s:c r="CF20" s="27"/>
      <s:c r="CG20" s="79"/>
      <s:c r="CH20" s="26"/>
      <s:c r="CI20" s="80"/>
      <s:c r="CJ20" s="76"/>
      <s:c r="CK20" s="26"/>
      <s:c r="CL20" s="27"/>
      <s:c r="CM20" s="79"/>
      <s:c r="CN20" s="26"/>
      <s:c r="CO20" s="80"/>
      <s:c r="CP20" s="76"/>
      <s:c r="CQ20" s="26"/>
      <s:c r="CR20" s="27"/>
      <s:c r="CS20" s="62">
        <s:f>SUMIFS(D20:CR20,$D$3:$CR$3,"З")</s:f>
        <s:v>0</s:v>
      </s:c>
      <s:c r="CT20" s="63">
        <s:f>SUMIFS(D20:CR20,$D$3:$CR$3,"О")</s:f>
        <s:v>0</s:v>
      </s:c>
      <s:c r="CU20" s="63">
        <s:f>SUMIFS(D20:CR20,$D$3:$CR$3,"У")</s:f>
        <s:v>0</s:v>
      </s:c>
      <s:c r="CV20" s="28">
        <s:f>IF(C20="Да",CS20*$D$46+CT20*$D$47+CU20*$D$48,CS20*$C$46+CT20*$C$47+CU20*$C$48)</s:f>
        <s:v>0</s:v>
      </s:c>
      <s:c r="CW20" s="29" t="str">
        <s:f>IF(C20="Нет",CV20,"")</s:f>
        <s:v/>
      </s:c>
      <s:c r="CX20" s="30" t="str">
        <s:f>IF(C20="Да",CV20,"")</s:f>
        <s:v/>
      </s:c>
      <s:c r="CY20" s="30" t="str">
        <s:f>IF(C20="Налич",CV20,"")</s:f>
        <s:v/>
      </s:c>
    </s:row>
    <s:row r="21" ht="21.75">
      <s:c r="A21" s="23"/>
      <s:c r="B21" s="24"/>
      <s:c r="C21" s="25"/>
      <s:c r="D21" s="49"/>
      <s:c r="E21" s="50"/>
      <s:c r="F21" s="74"/>
      <s:c r="G21" s="79"/>
      <s:c r="H21" s="26"/>
      <s:c r="I21" s="80"/>
      <s:c r="J21" s="76"/>
      <s:c r="K21" s="26"/>
      <s:c r="L21" s="27"/>
      <s:c r="M21" s="79"/>
      <s:c r="N21" s="26"/>
      <s:c r="O21" s="80"/>
      <s:c r="P21" s="76"/>
      <s:c r="Q21" s="26"/>
      <s:c r="R21" s="27"/>
      <s:c r="S21" s="79"/>
      <s:c r="T21" s="26"/>
      <s:c r="U21" s="80"/>
      <s:c r="V21" s="76"/>
      <s:c r="W21" s="26"/>
      <s:c r="X21" s="27"/>
      <s:c r="Y21" s="79"/>
      <s:c r="Z21" s="26"/>
      <s:c r="AA21" s="80"/>
      <s:c r="AB21" s="76"/>
      <s:c r="AC21" s="26"/>
      <s:c r="AD21" s="27"/>
      <s:c r="AE21" s="79"/>
      <s:c r="AF21" s="26"/>
      <s:c r="AG21" s="80"/>
      <s:c r="AH21" s="76"/>
      <s:c r="AI21" s="26"/>
      <s:c r="AJ21" s="27"/>
      <s:c r="AK21" s="79"/>
      <s:c r="AL21" s="26"/>
      <s:c r="AM21" s="80"/>
      <s:c r="AN21" s="76"/>
      <s:c r="AO21" s="26"/>
      <s:c r="AP21" s="27"/>
      <s:c r="AQ21" s="79"/>
      <s:c r="AR21" s="26"/>
      <s:c r="AS21" s="80"/>
      <s:c r="AT21" s="76"/>
      <s:c r="AU21" s="26"/>
      <s:c r="AV21" s="27"/>
      <s:c r="AW21" s="79"/>
      <s:c r="AX21" s="26"/>
      <s:c r="AY21" s="80"/>
      <s:c r="AZ21" s="76"/>
      <s:c r="BA21" s="26"/>
      <s:c r="BB21" s="27"/>
      <s:c r="BC21" s="79"/>
      <s:c r="BD21" s="26"/>
      <s:c r="BE21" s="80"/>
      <s:c r="BF21" s="76"/>
      <s:c r="BG21" s="26"/>
      <s:c r="BH21" s="27"/>
      <s:c r="BI21" s="79"/>
      <s:c r="BJ21" s="26"/>
      <s:c r="BK21" s="80"/>
      <s:c r="BL21" s="76"/>
      <s:c r="BM21" s="26"/>
      <s:c r="BN21" s="27"/>
      <s:c r="BO21" s="79"/>
      <s:c r="BP21" s="26"/>
      <s:c r="BQ21" s="80"/>
      <s:c r="BR21" s="76"/>
      <s:c r="BS21" s="26"/>
      <s:c r="BT21" s="27"/>
      <s:c r="BU21" s="79"/>
      <s:c r="BV21" s="26"/>
      <s:c r="BW21" s="80"/>
      <s:c r="BX21" s="76"/>
      <s:c r="BY21" s="26"/>
      <s:c r="BZ21" s="27"/>
      <s:c r="CA21" s="79"/>
      <s:c r="CB21" s="26"/>
      <s:c r="CC21" s="80"/>
      <s:c r="CD21" s="76"/>
      <s:c r="CE21" s="26"/>
      <s:c r="CF21" s="27"/>
      <s:c r="CG21" s="79"/>
      <s:c r="CH21" s="26"/>
      <s:c r="CI21" s="80"/>
      <s:c r="CJ21" s="76"/>
      <s:c r="CK21" s="26"/>
      <s:c r="CL21" s="27"/>
      <s:c r="CM21" s="79"/>
      <s:c r="CN21" s="26"/>
      <s:c r="CO21" s="80"/>
      <s:c r="CP21" s="76"/>
      <s:c r="CQ21" s="26"/>
      <s:c r="CR21" s="27"/>
      <s:c r="CS21" s="62">
        <s:f>SUMIFS(D21:CR21,$D$3:$CR$3,"З")</s:f>
        <s:v>0</s:v>
      </s:c>
      <s:c r="CT21" s="63">
        <s:f>SUMIFS(D21:CR21,$D$3:$CR$3,"О")</s:f>
        <s:v>0</s:v>
      </s:c>
      <s:c r="CU21" s="63">
        <s:f>SUMIFS(D21:CR21,$D$3:$CR$3,"У")</s:f>
        <s:v>0</s:v>
      </s:c>
      <s:c r="CV21" s="28">
        <s:f>IF(C21="Да",CS21*$D$46+CT21*$D$47+CU21*$D$48,CS21*$C$46+CT21*$C$47+CU21*$C$48)</s:f>
        <s:v>0</s:v>
      </s:c>
      <s:c r="CW21" s="29" t="str">
        <s:f>IF(C21="Нет",CV21,"")</s:f>
        <s:v/>
      </s:c>
      <s:c r="CX21" s="30" t="str">
        <s:f>IF(C21="Да",CV21,"")</s:f>
        <s:v/>
      </s:c>
      <s:c r="CY21" s="30" t="str">
        <s:f>IF(D21="Да",CW21,"")</s:f>
        <s:v/>
      </s:c>
    </s:row>
    <s:row r="22" ht="21.75">
      <s:c r="A22" s="23"/>
      <s:c r="B22" s="33"/>
      <s:c r="C22" s="34"/>
      <s:c r="D22" s="53"/>
      <s:c r="E22" s="54"/>
      <s:c r="F22" s="74"/>
      <s:c r="G22" s="79"/>
      <s:c r="H22" s="26"/>
      <s:c r="I22" s="80"/>
      <s:c r="J22" s="76"/>
      <s:c r="K22" s="26"/>
      <s:c r="L22" s="27"/>
      <s:c r="M22" s="79"/>
      <s:c r="N22" s="26"/>
      <s:c r="O22" s="80"/>
      <s:c r="P22" s="76"/>
      <s:c r="Q22" s="26"/>
      <s:c r="R22" s="27"/>
      <s:c r="S22" s="79"/>
      <s:c r="T22" s="26"/>
      <s:c r="U22" s="80"/>
      <s:c r="V22" s="76"/>
      <s:c r="W22" s="26"/>
      <s:c r="X22" s="27"/>
      <s:c r="Y22" s="79"/>
      <s:c r="Z22" s="26"/>
      <s:c r="AA22" s="80"/>
      <s:c r="AB22" s="76"/>
      <s:c r="AC22" s="26"/>
      <s:c r="AD22" s="27"/>
      <s:c r="AE22" s="79"/>
      <s:c r="AF22" s="26"/>
      <s:c r="AG22" s="80"/>
      <s:c r="AH22" s="76"/>
      <s:c r="AI22" s="26"/>
      <s:c r="AJ22" s="27"/>
      <s:c r="AK22" s="79"/>
      <s:c r="AL22" s="26"/>
      <s:c r="AM22" s="80"/>
      <s:c r="AN22" s="76"/>
      <s:c r="AO22" s="26"/>
      <s:c r="AP22" s="27"/>
      <s:c r="AQ22" s="79"/>
      <s:c r="AR22" s="26"/>
      <s:c r="AS22" s="80"/>
      <s:c r="AT22" s="76"/>
      <s:c r="AU22" s="26"/>
      <s:c r="AV22" s="27"/>
      <s:c r="AW22" s="79"/>
      <s:c r="AX22" s="26"/>
      <s:c r="AY22" s="80"/>
      <s:c r="AZ22" s="76"/>
      <s:c r="BA22" s="26"/>
      <s:c r="BB22" s="27"/>
      <s:c r="BC22" s="79"/>
      <s:c r="BD22" s="26"/>
      <s:c r="BE22" s="80"/>
      <s:c r="BF22" s="76"/>
      <s:c r="BG22" s="26"/>
      <s:c r="BH22" s="27"/>
      <s:c r="BI22" s="79"/>
      <s:c r="BJ22" s="26"/>
      <s:c r="BK22" s="80"/>
      <s:c r="BL22" s="76"/>
      <s:c r="BM22" s="26"/>
      <s:c r="BN22" s="27"/>
      <s:c r="BO22" s="79"/>
      <s:c r="BP22" s="26"/>
      <s:c r="BQ22" s="80"/>
      <s:c r="BR22" s="76"/>
      <s:c r="BS22" s="26"/>
      <s:c r="BT22" s="27"/>
      <s:c r="BU22" s="79"/>
      <s:c r="BV22" s="26"/>
      <s:c r="BW22" s="80"/>
      <s:c r="BX22" s="76"/>
      <s:c r="BY22" s="26"/>
      <s:c r="BZ22" s="27"/>
      <s:c r="CA22" s="79"/>
      <s:c r="CB22" s="26"/>
      <s:c r="CC22" s="80"/>
      <s:c r="CD22" s="76"/>
      <s:c r="CE22" s="26"/>
      <s:c r="CF22" s="27"/>
      <s:c r="CG22" s="79"/>
      <s:c r="CH22" s="26"/>
      <s:c r="CI22" s="80"/>
      <s:c r="CJ22" s="76"/>
      <s:c r="CK22" s="26"/>
      <s:c r="CL22" s="27"/>
      <s:c r="CM22" s="79"/>
      <s:c r="CN22" s="26"/>
      <s:c r="CO22" s="80"/>
      <s:c r="CP22" s="76"/>
      <s:c r="CQ22" s="26"/>
      <s:c r="CR22" s="27"/>
      <s:c r="CS22" s="62">
        <s:f>SUMIFS(D22:CR22,$D$3:$CR$3,"З")</s:f>
        <s:v>0</s:v>
      </s:c>
      <s:c r="CT22" s="63">
        <s:f>SUMIFS(D22:CR22,$D$3:$CR$3,"О")</s:f>
        <s:v>0</s:v>
      </s:c>
      <s:c r="CU22" s="63">
        <s:f>SUMIFS(D22:CR22,$D$3:$CR$3,"У")</s:f>
        <s:v>0</s:v>
      </s:c>
      <s:c r="CV22" s="28">
        <s:f>IF(C22="Да",CS22*$D$46+CT22*$D$47+CU22*$D$48,CS22*$C$46+CT22*$C$47+CU22*$C$48)</s:f>
        <s:v>0</s:v>
      </s:c>
      <s:c r="CW22" s="29" t="str">
        <s:f>IF(C22="Нет",CV22,"")</s:f>
        <s:v/>
      </s:c>
      <s:c r="CX22" s="30" t="str">
        <s:f>IF(C22="Да",CV22,"")</s:f>
        <s:v/>
      </s:c>
      <s:c r="CY22" s="30" t="str">
        <s:f>IF(D22="Да",CW22,"")</s:f>
        <s:v/>
      </s:c>
    </s:row>
    <s:row r="23" ht="21.75">
      <s:c r="A23" s="23"/>
      <s:c r="B23" s="24"/>
      <s:c r="C23" s="25"/>
      <s:c r="D23" s="49"/>
      <s:c r="E23" s="50"/>
      <s:c r="F23" s="74"/>
      <s:c r="G23" s="79"/>
      <s:c r="H23" s="26"/>
      <s:c r="I23" s="80"/>
      <s:c r="J23" s="76"/>
      <s:c r="K23" s="26"/>
      <s:c r="L23" s="27"/>
      <s:c r="M23" s="79"/>
      <s:c r="N23" s="26"/>
      <s:c r="O23" s="80"/>
      <s:c r="P23" s="76"/>
      <s:c r="Q23" s="26"/>
      <s:c r="R23" s="27"/>
      <s:c r="S23" s="79"/>
      <s:c r="T23" s="26"/>
      <s:c r="U23" s="80"/>
      <s:c r="V23" s="76"/>
      <s:c r="W23" s="26"/>
      <s:c r="X23" s="27"/>
      <s:c r="Y23" s="79"/>
      <s:c r="Z23" s="26"/>
      <s:c r="AA23" s="80"/>
      <s:c r="AB23" s="76"/>
      <s:c r="AC23" s="26"/>
      <s:c r="AD23" s="27"/>
      <s:c r="AE23" s="79"/>
      <s:c r="AF23" s="26"/>
      <s:c r="AG23" s="80"/>
      <s:c r="AH23" s="76"/>
      <s:c r="AI23" s="26"/>
      <s:c r="AJ23" s="27"/>
      <s:c r="AK23" s="79"/>
      <s:c r="AL23" s="26"/>
      <s:c r="AM23" s="80"/>
      <s:c r="AN23" s="76"/>
      <s:c r="AO23" s="26"/>
      <s:c r="AP23" s="27"/>
      <s:c r="AQ23" s="79"/>
      <s:c r="AR23" s="26"/>
      <s:c r="AS23" s="80"/>
      <s:c r="AT23" s="76"/>
      <s:c r="AU23" s="26"/>
      <s:c r="AV23" s="27"/>
      <s:c r="AW23" s="79"/>
      <s:c r="AX23" s="26"/>
      <s:c r="AY23" s="80"/>
      <s:c r="AZ23" s="76"/>
      <s:c r="BA23" s="26"/>
      <s:c r="BB23" s="27"/>
      <s:c r="BC23" s="79"/>
      <s:c r="BD23" s="26"/>
      <s:c r="BE23" s="80"/>
      <s:c r="BF23" s="76"/>
      <s:c r="BG23" s="26"/>
      <s:c r="BH23" s="27"/>
      <s:c r="BI23" s="79"/>
      <s:c r="BJ23" s="26"/>
      <s:c r="BK23" s="80"/>
      <s:c r="BL23" s="76"/>
      <s:c r="BM23" s="26"/>
      <s:c r="BN23" s="27"/>
      <s:c r="BO23" s="79"/>
      <s:c r="BP23" s="26"/>
      <s:c r="BQ23" s="80"/>
      <s:c r="BR23" s="76"/>
      <s:c r="BS23" s="26"/>
      <s:c r="BT23" s="27"/>
      <s:c r="BU23" s="79"/>
      <s:c r="BV23" s="26"/>
      <s:c r="BW23" s="80"/>
      <s:c r="BX23" s="76"/>
      <s:c r="BY23" s="26"/>
      <s:c r="BZ23" s="27"/>
      <s:c r="CA23" s="79"/>
      <s:c r="CB23" s="26"/>
      <s:c r="CC23" s="80"/>
      <s:c r="CD23" s="76"/>
      <s:c r="CE23" s="26"/>
      <s:c r="CF23" s="27"/>
      <s:c r="CG23" s="79"/>
      <s:c r="CH23" s="26"/>
      <s:c r="CI23" s="80"/>
      <s:c r="CJ23" s="76"/>
      <s:c r="CK23" s="26"/>
      <s:c r="CL23" s="27"/>
      <s:c r="CM23" s="79"/>
      <s:c r="CN23" s="26"/>
      <s:c r="CO23" s="80"/>
      <s:c r="CP23" s="76"/>
      <s:c r="CQ23" s="26"/>
      <s:c r="CR23" s="27"/>
      <s:c r="CS23" s="62">
        <s:f>SUMIFS(D23:CR23,$D$3:$CR$3,"З")</s:f>
        <s:v>0</s:v>
      </s:c>
      <s:c r="CT23" s="63">
        <s:f>SUMIFS(D23:CR23,$D$3:$CR$3,"О")</s:f>
        <s:v>0</s:v>
      </s:c>
      <s:c r="CU23" s="63">
        <s:f>SUMIFS(D23:CR23,$D$3:$CR$3,"У")</s:f>
        <s:v>0</s:v>
      </s:c>
      <s:c r="CV23" s="28">
        <s:f>IF(C23="Да",CS23*$D$46+CT23*$D$47+CU23*$D$48,CS23*$C$46+CT23*$C$47+CU23*$C$48)</s:f>
        <s:v>0</s:v>
      </s:c>
      <s:c r="CW23" s="29" t="str">
        <s:f>IF(C23="Нет",CV23,"")</s:f>
        <s:v/>
      </s:c>
      <s:c r="CX23" s="30" t="str">
        <s:f>IF(C23="Да",CV23,"")</s:f>
        <s:v/>
      </s:c>
      <s:c r="CY23" s="30" t="str">
        <s:f>IF(D23="Да",CW23,"")</s:f>
        <s:v/>
      </s:c>
    </s:row>
    <s:row r="24" ht="21.75">
      <s:c r="A24" s="23"/>
      <s:c r="B24" s="33"/>
      <s:c r="C24" s="34"/>
      <s:c r="D24" s="53"/>
      <s:c r="E24" s="54"/>
      <s:c r="F24" s="74"/>
      <s:c r="G24" s="79"/>
      <s:c r="H24" s="26"/>
      <s:c r="I24" s="80"/>
      <s:c r="J24" s="76"/>
      <s:c r="K24" s="26"/>
      <s:c r="L24" s="27"/>
      <s:c r="M24" s="79"/>
      <s:c r="N24" s="26"/>
      <s:c r="O24" s="80"/>
      <s:c r="P24" s="76"/>
      <s:c r="Q24" s="26"/>
      <s:c r="R24" s="27"/>
      <s:c r="S24" s="79"/>
      <s:c r="T24" s="26"/>
      <s:c r="U24" s="80"/>
      <s:c r="V24" s="76"/>
      <s:c r="W24" s="26"/>
      <s:c r="X24" s="27"/>
      <s:c r="Y24" s="79"/>
      <s:c r="Z24" s="26"/>
      <s:c r="AA24" s="80"/>
      <s:c r="AB24" s="76"/>
      <s:c r="AC24" s="26"/>
      <s:c r="AD24" s="27"/>
      <s:c r="AE24" s="79"/>
      <s:c r="AF24" s="26"/>
      <s:c r="AG24" s="80"/>
      <s:c r="AH24" s="76"/>
      <s:c r="AI24" s="26"/>
      <s:c r="AJ24" s="27"/>
      <s:c r="AK24" s="79"/>
      <s:c r="AL24" s="26"/>
      <s:c r="AM24" s="80"/>
      <s:c r="AN24" s="76"/>
      <s:c r="AO24" s="26"/>
      <s:c r="AP24" s="27"/>
      <s:c r="AQ24" s="79"/>
      <s:c r="AR24" s="26"/>
      <s:c r="AS24" s="80"/>
      <s:c r="AT24" s="76"/>
      <s:c r="AU24" s="26"/>
      <s:c r="AV24" s="27"/>
      <s:c r="AW24" s="79"/>
      <s:c r="AX24" s="26"/>
      <s:c r="AY24" s="80"/>
      <s:c r="AZ24" s="76"/>
      <s:c r="BA24" s="26"/>
      <s:c r="BB24" s="27"/>
      <s:c r="BC24" s="79"/>
      <s:c r="BD24" s="26"/>
      <s:c r="BE24" s="80"/>
      <s:c r="BF24" s="76"/>
      <s:c r="BG24" s="26"/>
      <s:c r="BH24" s="27"/>
      <s:c r="BI24" s="79"/>
      <s:c r="BJ24" s="26"/>
      <s:c r="BK24" s="80"/>
      <s:c r="BL24" s="76"/>
      <s:c r="BM24" s="26"/>
      <s:c r="BN24" s="27"/>
      <s:c r="BO24" s="79"/>
      <s:c r="BP24" s="26"/>
      <s:c r="BQ24" s="80"/>
      <s:c r="BR24" s="76"/>
      <s:c r="BS24" s="26"/>
      <s:c r="BT24" s="27"/>
      <s:c r="BU24" s="79"/>
      <s:c r="BV24" s="26"/>
      <s:c r="BW24" s="80"/>
      <s:c r="BX24" s="76"/>
      <s:c r="BY24" s="26"/>
      <s:c r="BZ24" s="27"/>
      <s:c r="CA24" s="79"/>
      <s:c r="CB24" s="26"/>
      <s:c r="CC24" s="80"/>
      <s:c r="CD24" s="76"/>
      <s:c r="CE24" s="26"/>
      <s:c r="CF24" s="27"/>
      <s:c r="CG24" s="79"/>
      <s:c r="CH24" s="26"/>
      <s:c r="CI24" s="80"/>
      <s:c r="CJ24" s="76"/>
      <s:c r="CK24" s="26"/>
      <s:c r="CL24" s="27"/>
      <s:c r="CM24" s="79"/>
      <s:c r="CN24" s="26"/>
      <s:c r="CO24" s="80"/>
      <s:c r="CP24" s="76"/>
      <s:c r="CQ24" s="26"/>
      <s:c r="CR24" s="27"/>
      <s:c r="CS24" s="62">
        <s:f>SUMIFS(D24:CR24,$D$3:$CR$3,"З")</s:f>
        <s:v>0</s:v>
      </s:c>
      <s:c r="CT24" s="63">
        <s:f>SUMIFS(D24:CR24,$D$3:$CR$3,"О")</s:f>
        <s:v>0</s:v>
      </s:c>
      <s:c r="CU24" s="63">
        <s:f>SUMIFS(D24:CR24,$D$3:$CR$3,"У")</s:f>
        <s:v>0</s:v>
      </s:c>
      <s:c r="CV24" s="28">
        <s:f>IF(C24="Да",CS24*$D$46+CT24*$D$47+CU24*$D$48,CS24*$C$46+CT24*$C$47+CU24*$C$48)</s:f>
        <s:v>0</s:v>
      </s:c>
      <s:c r="CW24" s="29" t="str">
        <s:f>IF(C24="Нет",CV24,"")</s:f>
        <s:v/>
      </s:c>
      <s:c r="CX24" s="30" t="str">
        <s:f>IF(C24="Да",CV24,"")</s:f>
        <s:v/>
      </s:c>
      <s:c r="CY24" s="30" t="str">
        <s:f>IF(D24="Да",CW24,"")</s:f>
        <s:v/>
      </s:c>
    </s:row>
    <s:row r="25" ht="21.75">
      <s:c r="A25" s="23"/>
      <s:c r="B25" s="33"/>
      <s:c r="C25" s="34"/>
      <s:c r="D25" s="53"/>
      <s:c r="E25" s="54"/>
      <s:c r="F25" s="74"/>
      <s:c r="G25" s="79"/>
      <s:c r="H25" s="26"/>
      <s:c r="I25" s="80"/>
      <s:c r="J25" s="76"/>
      <s:c r="K25" s="26"/>
      <s:c r="L25" s="27"/>
      <s:c r="M25" s="79"/>
      <s:c r="N25" s="26"/>
      <s:c r="O25" s="80"/>
      <s:c r="P25" s="76"/>
      <s:c r="Q25" s="26"/>
      <s:c r="R25" s="27"/>
      <s:c r="S25" s="79"/>
      <s:c r="T25" s="26"/>
      <s:c r="U25" s="80"/>
      <s:c r="V25" s="76"/>
      <s:c r="W25" s="26"/>
      <s:c r="X25" s="27"/>
      <s:c r="Y25" s="79"/>
      <s:c r="Z25" s="26"/>
      <s:c r="AA25" s="80"/>
      <s:c r="AB25" s="76"/>
      <s:c r="AC25" s="26"/>
      <s:c r="AD25" s="27"/>
      <s:c r="AE25" s="79"/>
      <s:c r="AF25" s="26"/>
      <s:c r="AG25" s="80"/>
      <s:c r="AH25" s="76"/>
      <s:c r="AI25" s="26"/>
      <s:c r="AJ25" s="27"/>
      <s:c r="AK25" s="79"/>
      <s:c r="AL25" s="26"/>
      <s:c r="AM25" s="80"/>
      <s:c r="AN25" s="76"/>
      <s:c r="AO25" s="26"/>
      <s:c r="AP25" s="27"/>
      <s:c r="AQ25" s="79"/>
      <s:c r="AR25" s="26"/>
      <s:c r="AS25" s="80"/>
      <s:c r="AT25" s="76"/>
      <s:c r="AU25" s="26"/>
      <s:c r="AV25" s="27"/>
      <s:c r="AW25" s="79"/>
      <s:c r="AX25" s="26"/>
      <s:c r="AY25" s="80"/>
      <s:c r="AZ25" s="76"/>
      <s:c r="BA25" s="26"/>
      <s:c r="BB25" s="27"/>
      <s:c r="BC25" s="79"/>
      <s:c r="BD25" s="26"/>
      <s:c r="BE25" s="80"/>
      <s:c r="BF25" s="76"/>
      <s:c r="BG25" s="26"/>
      <s:c r="BH25" s="27"/>
      <s:c r="BI25" s="79"/>
      <s:c r="BJ25" s="26"/>
      <s:c r="BK25" s="80"/>
      <s:c r="BL25" s="76"/>
      <s:c r="BM25" s="26"/>
      <s:c r="BN25" s="27"/>
      <s:c r="BO25" s="79"/>
      <s:c r="BP25" s="26"/>
      <s:c r="BQ25" s="80"/>
      <s:c r="BR25" s="76"/>
      <s:c r="BS25" s="26"/>
      <s:c r="BT25" s="27"/>
      <s:c r="BU25" s="79"/>
      <s:c r="BV25" s="26"/>
      <s:c r="BW25" s="80"/>
      <s:c r="BX25" s="76"/>
      <s:c r="BY25" s="26"/>
      <s:c r="BZ25" s="27"/>
      <s:c r="CA25" s="79"/>
      <s:c r="CB25" s="26"/>
      <s:c r="CC25" s="80"/>
      <s:c r="CD25" s="76"/>
      <s:c r="CE25" s="26"/>
      <s:c r="CF25" s="27"/>
      <s:c r="CG25" s="79"/>
      <s:c r="CH25" s="26"/>
      <s:c r="CI25" s="80"/>
      <s:c r="CJ25" s="76"/>
      <s:c r="CK25" s="26"/>
      <s:c r="CL25" s="27"/>
      <s:c r="CM25" s="79"/>
      <s:c r="CN25" s="26"/>
      <s:c r="CO25" s="80"/>
      <s:c r="CP25" s="76"/>
      <s:c r="CQ25" s="26"/>
      <s:c r="CR25" s="27"/>
      <s:c r="CS25" s="62">
        <s:f>SUMIFS(D25:CR25,$D$3:$CR$3,"З")</s:f>
        <s:v>0</s:v>
      </s:c>
      <s:c r="CT25" s="63">
        <s:f>SUMIFS(D25:CR25,$D$3:$CR$3,"О")</s:f>
        <s:v>0</s:v>
      </s:c>
      <s:c r="CU25" s="63">
        <s:f>SUMIFS(D25:CR25,$D$3:$CR$3,"У")</s:f>
        <s:v>0</s:v>
      </s:c>
      <s:c r="CV25" s="28">
        <s:f>IF(C25="Да",CS25*$D$46+CT25*$D$47+CU25*$D$48,CS25*$C$46+CT25*$C$47+CU25*$C$48)</s:f>
        <s:v>0</s:v>
      </s:c>
      <s:c r="CW25" s="29" t="str">
        <s:f>IF(C25="Нет",CV25,"")</s:f>
        <s:v/>
      </s:c>
      <s:c r="CX25" s="30" t="str">
        <s:f>IF(C25="Да",CV25,"")</s:f>
        <s:v/>
      </s:c>
      <s:c r="CY25" s="30" t="str">
        <s:f>IF(D25="Да",CW25,"")</s:f>
        <s:v/>
      </s:c>
    </s:row>
    <s:row r="26" ht="21.75">
      <s:c r="A26" s="23"/>
      <s:c r="B26" s="24"/>
      <s:c r="C26" s="25"/>
      <s:c r="D26" s="49"/>
      <s:c r="E26" s="50"/>
      <s:c r="F26" s="74"/>
      <s:c r="G26" s="79"/>
      <s:c r="H26" s="26"/>
      <s:c r="I26" s="80"/>
      <s:c r="J26" s="76"/>
      <s:c r="K26" s="26"/>
      <s:c r="L26" s="27"/>
      <s:c r="M26" s="79"/>
      <s:c r="N26" s="26"/>
      <s:c r="O26" s="80"/>
      <s:c r="P26" s="76"/>
      <s:c r="Q26" s="26"/>
      <s:c r="R26" s="27"/>
      <s:c r="S26" s="79"/>
      <s:c r="T26" s="26"/>
      <s:c r="U26" s="80"/>
      <s:c r="V26" s="76"/>
      <s:c r="W26" s="26"/>
      <s:c r="X26" s="27"/>
      <s:c r="Y26" s="79"/>
      <s:c r="Z26" s="26"/>
      <s:c r="AA26" s="80"/>
      <s:c r="AB26" s="76"/>
      <s:c r="AC26" s="26"/>
      <s:c r="AD26" s="27"/>
      <s:c r="AE26" s="79"/>
      <s:c r="AF26" s="26"/>
      <s:c r="AG26" s="80"/>
      <s:c r="AH26" s="76"/>
      <s:c r="AI26" s="26"/>
      <s:c r="AJ26" s="27"/>
      <s:c r="AK26" s="79"/>
      <s:c r="AL26" s="26"/>
      <s:c r="AM26" s="80"/>
      <s:c r="AN26" s="76"/>
      <s:c r="AO26" s="26"/>
      <s:c r="AP26" s="27"/>
      <s:c r="AQ26" s="79"/>
      <s:c r="AR26" s="26"/>
      <s:c r="AS26" s="80"/>
      <s:c r="AT26" s="76"/>
      <s:c r="AU26" s="26"/>
      <s:c r="AV26" s="27"/>
      <s:c r="AW26" s="79"/>
      <s:c r="AX26" s="26"/>
      <s:c r="AY26" s="80"/>
      <s:c r="AZ26" s="76"/>
      <s:c r="BA26" s="26"/>
      <s:c r="BB26" s="27"/>
      <s:c r="BC26" s="79"/>
      <s:c r="BD26" s="26"/>
      <s:c r="BE26" s="80"/>
      <s:c r="BF26" s="76"/>
      <s:c r="BG26" s="26"/>
      <s:c r="BH26" s="27"/>
      <s:c r="BI26" s="79"/>
      <s:c r="BJ26" s="26"/>
      <s:c r="BK26" s="80"/>
      <s:c r="BL26" s="76"/>
      <s:c r="BM26" s="26"/>
      <s:c r="BN26" s="27"/>
      <s:c r="BO26" s="79"/>
      <s:c r="BP26" s="26"/>
      <s:c r="BQ26" s="80"/>
      <s:c r="BR26" s="76"/>
      <s:c r="BS26" s="26"/>
      <s:c r="BT26" s="27"/>
      <s:c r="BU26" s="79"/>
      <s:c r="BV26" s="26"/>
      <s:c r="BW26" s="80"/>
      <s:c r="BX26" s="76"/>
      <s:c r="BY26" s="26"/>
      <s:c r="BZ26" s="27"/>
      <s:c r="CA26" s="79"/>
      <s:c r="CB26" s="26"/>
      <s:c r="CC26" s="80"/>
      <s:c r="CD26" s="76"/>
      <s:c r="CE26" s="26"/>
      <s:c r="CF26" s="27"/>
      <s:c r="CG26" s="79"/>
      <s:c r="CH26" s="26"/>
      <s:c r="CI26" s="80"/>
      <s:c r="CJ26" s="76"/>
      <s:c r="CK26" s="26"/>
      <s:c r="CL26" s="27"/>
      <s:c r="CM26" s="79"/>
      <s:c r="CN26" s="26"/>
      <s:c r="CO26" s="80"/>
      <s:c r="CP26" s="76"/>
      <s:c r="CQ26" s="26"/>
      <s:c r="CR26" s="27"/>
      <s:c r="CS26" s="62">
        <s:f>SUMIFS(D26:CR26,$D$3:$CR$3,"З")</s:f>
        <s:v>0</s:v>
      </s:c>
      <s:c r="CT26" s="63">
        <s:f>SUMIFS(D26:CR26,$D$3:$CR$3,"О")</s:f>
        <s:v>0</s:v>
      </s:c>
      <s:c r="CU26" s="63">
        <s:f>SUMIFS(D26:CR26,$D$3:$CR$3,"У")</s:f>
        <s:v>0</s:v>
      </s:c>
      <s:c r="CV26" s="28">
        <s:f>IF(C26="Да",CS26*$D$46+CT26*$D$47+CU26*$D$48,CS26*$C$46+CT26*$C$47+CU26*$C$48)</s:f>
        <s:v>0</s:v>
      </s:c>
      <s:c r="CW26" s="29" t="str">
        <s:f>IF(C26="Нет",CV26,"")</s:f>
        <s:v/>
      </s:c>
      <s:c r="CX26" s="30" t="str">
        <s:f>IF(C26="Да",CV26,"")</s:f>
        <s:v/>
      </s:c>
      <s:c r="CY26" s="30" t="str">
        <s:f>IF(D26="Да",CW26,"")</s:f>
        <s:v/>
      </s:c>
    </s:row>
    <s:row r="27" ht="21.75">
      <s:c r="A27" s="23"/>
      <s:c r="B27" s="24"/>
      <s:c r="C27" s="25"/>
      <s:c r="D27" s="49"/>
      <s:c r="E27" s="50"/>
      <s:c r="F27" s="74"/>
      <s:c r="G27" s="79"/>
      <s:c r="H27" s="26"/>
      <s:c r="I27" s="80"/>
      <s:c r="J27" s="76"/>
      <s:c r="K27" s="26"/>
      <s:c r="L27" s="27"/>
      <s:c r="M27" s="79"/>
      <s:c r="N27" s="26"/>
      <s:c r="O27" s="80"/>
      <s:c r="P27" s="76"/>
      <s:c r="Q27" s="26"/>
      <s:c r="R27" s="27"/>
      <s:c r="S27" s="79"/>
      <s:c r="T27" s="26"/>
      <s:c r="U27" s="80"/>
      <s:c r="V27" s="76"/>
      <s:c r="W27" s="26"/>
      <s:c r="X27" s="27"/>
      <s:c r="Y27" s="79"/>
      <s:c r="Z27" s="26"/>
      <s:c r="AA27" s="80"/>
      <s:c r="AB27" s="76"/>
      <s:c r="AC27" s="26"/>
      <s:c r="AD27" s="27"/>
      <s:c r="AE27" s="79"/>
      <s:c r="AF27" s="26"/>
      <s:c r="AG27" s="80"/>
      <s:c r="AH27" s="76"/>
      <s:c r="AI27" s="26"/>
      <s:c r="AJ27" s="27"/>
      <s:c r="AK27" s="79"/>
      <s:c r="AL27" s="26"/>
      <s:c r="AM27" s="80"/>
      <s:c r="AN27" s="76"/>
      <s:c r="AO27" s="26"/>
      <s:c r="AP27" s="27"/>
      <s:c r="AQ27" s="79"/>
      <s:c r="AR27" s="26"/>
      <s:c r="AS27" s="80"/>
      <s:c r="AT27" s="76"/>
      <s:c r="AU27" s="26"/>
      <s:c r="AV27" s="27"/>
      <s:c r="AW27" s="79"/>
      <s:c r="AX27" s="26"/>
      <s:c r="AY27" s="80"/>
      <s:c r="AZ27" s="76"/>
      <s:c r="BA27" s="26"/>
      <s:c r="BB27" s="27"/>
      <s:c r="BC27" s="79"/>
      <s:c r="BD27" s="26"/>
      <s:c r="BE27" s="80"/>
      <s:c r="BF27" s="76"/>
      <s:c r="BG27" s="26"/>
      <s:c r="BH27" s="27"/>
      <s:c r="BI27" s="79"/>
      <s:c r="BJ27" s="26"/>
      <s:c r="BK27" s="80"/>
      <s:c r="BL27" s="76"/>
      <s:c r="BM27" s="26"/>
      <s:c r="BN27" s="27"/>
      <s:c r="BO27" s="79"/>
      <s:c r="BP27" s="26"/>
      <s:c r="BQ27" s="80"/>
      <s:c r="BR27" s="76"/>
      <s:c r="BS27" s="26"/>
      <s:c r="BT27" s="27"/>
      <s:c r="BU27" s="79"/>
      <s:c r="BV27" s="26"/>
      <s:c r="BW27" s="80"/>
      <s:c r="BX27" s="76"/>
      <s:c r="BY27" s="26"/>
      <s:c r="BZ27" s="27"/>
      <s:c r="CA27" s="79"/>
      <s:c r="CB27" s="26"/>
      <s:c r="CC27" s="80"/>
      <s:c r="CD27" s="76"/>
      <s:c r="CE27" s="26"/>
      <s:c r="CF27" s="27"/>
      <s:c r="CG27" s="79"/>
      <s:c r="CH27" s="26"/>
      <s:c r="CI27" s="80"/>
      <s:c r="CJ27" s="76"/>
      <s:c r="CK27" s="26"/>
      <s:c r="CL27" s="27"/>
      <s:c r="CM27" s="79"/>
      <s:c r="CN27" s="26"/>
      <s:c r="CO27" s="80"/>
      <s:c r="CP27" s="76"/>
      <s:c r="CQ27" s="26"/>
      <s:c r="CR27" s="27"/>
      <s:c r="CS27" s="62">
        <s:f>SUMIFS(D27:CR27,$D$3:$CR$3,"З")</s:f>
        <s:v>0</s:v>
      </s:c>
      <s:c r="CT27" s="63">
        <s:f>SUMIFS(D27:CR27,$D$3:$CR$3,"О")</s:f>
        <s:v>0</s:v>
      </s:c>
      <s:c r="CU27" s="63">
        <s:f>SUMIFS(D27:CR27,$D$3:$CR$3,"У")</s:f>
        <s:v>0</s:v>
      </s:c>
      <s:c r="CV27" s="28">
        <s:f>IF(C27="Да",CS27*$D$46+CT27*$D$47+CU27*$D$48,CS27*$C$46+CT27*$C$47+CU27*$C$48)</s:f>
        <s:v>0</s:v>
      </s:c>
      <s:c r="CW27" s="29" t="str">
        <s:f>IF(C27="Нет",CV27,"")</s:f>
        <s:v/>
      </s:c>
      <s:c r="CX27" s="30" t="str">
        <s:f>IF(C27="Да",CV27,"")</s:f>
        <s:v/>
      </s:c>
      <s:c r="CY27" s="30" t="str">
        <s:f>IF(D27="Да",CW27,"")</s:f>
        <s:v/>
      </s:c>
    </s:row>
    <s:row r="28" ht="21.75">
      <s:c r="A28" s="23"/>
      <s:c r="B28" s="24"/>
      <s:c r="C28" s="25"/>
      <s:c r="D28" s="49"/>
      <s:c r="E28" s="50"/>
      <s:c r="F28" s="74"/>
      <s:c r="G28" s="79"/>
      <s:c r="H28" s="26"/>
      <s:c r="I28" s="80"/>
      <s:c r="J28" s="76"/>
      <s:c r="K28" s="26"/>
      <s:c r="L28" s="27"/>
      <s:c r="M28" s="79"/>
      <s:c r="N28" s="26"/>
      <s:c r="O28" s="80"/>
      <s:c r="P28" s="76"/>
      <s:c r="Q28" s="26"/>
      <s:c r="R28" s="27"/>
      <s:c r="S28" s="79"/>
      <s:c r="T28" s="26"/>
      <s:c r="U28" s="80"/>
      <s:c r="V28" s="76"/>
      <s:c r="W28" s="26"/>
      <s:c r="X28" s="27"/>
      <s:c r="Y28" s="79"/>
      <s:c r="Z28" s="26"/>
      <s:c r="AA28" s="80"/>
      <s:c r="AB28" s="76"/>
      <s:c r="AC28" s="26"/>
      <s:c r="AD28" s="27"/>
      <s:c r="AE28" s="79"/>
      <s:c r="AF28" s="26"/>
      <s:c r="AG28" s="80"/>
      <s:c r="AH28" s="76"/>
      <s:c r="AI28" s="26"/>
      <s:c r="AJ28" s="27"/>
      <s:c r="AK28" s="79"/>
      <s:c r="AL28" s="26"/>
      <s:c r="AM28" s="80"/>
      <s:c r="AN28" s="76"/>
      <s:c r="AO28" s="26"/>
      <s:c r="AP28" s="27"/>
      <s:c r="AQ28" s="79"/>
      <s:c r="AR28" s="26"/>
      <s:c r="AS28" s="80"/>
      <s:c r="AT28" s="76"/>
      <s:c r="AU28" s="26"/>
      <s:c r="AV28" s="27"/>
      <s:c r="AW28" s="79"/>
      <s:c r="AX28" s="26"/>
      <s:c r="AY28" s="80"/>
      <s:c r="AZ28" s="76"/>
      <s:c r="BA28" s="26"/>
      <s:c r="BB28" s="27"/>
      <s:c r="BC28" s="79"/>
      <s:c r="BD28" s="26"/>
      <s:c r="BE28" s="80"/>
      <s:c r="BF28" s="76"/>
      <s:c r="BG28" s="26"/>
      <s:c r="BH28" s="27"/>
      <s:c r="BI28" s="79"/>
      <s:c r="BJ28" s="26"/>
      <s:c r="BK28" s="80"/>
      <s:c r="BL28" s="76"/>
      <s:c r="BM28" s="26"/>
      <s:c r="BN28" s="27"/>
      <s:c r="BO28" s="79"/>
      <s:c r="BP28" s="26"/>
      <s:c r="BQ28" s="80"/>
      <s:c r="BR28" s="76"/>
      <s:c r="BS28" s="26"/>
      <s:c r="BT28" s="27"/>
      <s:c r="BU28" s="79"/>
      <s:c r="BV28" s="26"/>
      <s:c r="BW28" s="80"/>
      <s:c r="BX28" s="76"/>
      <s:c r="BY28" s="26"/>
      <s:c r="BZ28" s="27"/>
      <s:c r="CA28" s="79"/>
      <s:c r="CB28" s="26"/>
      <s:c r="CC28" s="80"/>
      <s:c r="CD28" s="76"/>
      <s:c r="CE28" s="26"/>
      <s:c r="CF28" s="27"/>
      <s:c r="CG28" s="79"/>
      <s:c r="CH28" s="26"/>
      <s:c r="CI28" s="80"/>
      <s:c r="CJ28" s="76"/>
      <s:c r="CK28" s="26"/>
      <s:c r="CL28" s="27"/>
      <s:c r="CM28" s="79"/>
      <s:c r="CN28" s="26"/>
      <s:c r="CO28" s="80"/>
      <s:c r="CP28" s="76"/>
      <s:c r="CQ28" s="26"/>
      <s:c r="CR28" s="27"/>
      <s:c r="CS28" s="62">
        <s:f>SUMIFS(D28:CR28,$D$3:$CR$3,"З")</s:f>
        <s:v>0</s:v>
      </s:c>
      <s:c r="CT28" s="63">
        <s:f>SUMIFS(D28:CR28,$D$3:$CR$3,"О")</s:f>
        <s:v>0</s:v>
      </s:c>
      <s:c r="CU28" s="63">
        <s:f>SUMIFS(D28:CR28,$D$3:$CR$3,"У")</s:f>
        <s:v>0</s:v>
      </s:c>
      <s:c r="CV28" s="28">
        <s:f>IF(C28="Да",CS28*$D$46+CT28*$D$47+CU28*$D$48,CS28*$C$46+CT28*$C$47+CU28*$C$48)</s:f>
        <s:v>0</s:v>
      </s:c>
      <s:c r="CW28" s="29" t="str">
        <s:f>IF(C28="Нет",CV28,"")</s:f>
        <s:v/>
      </s:c>
      <s:c r="CX28" s="30" t="str">
        <s:f>IF(C28="Да",CV28,"")</s:f>
        <s:v/>
      </s:c>
      <s:c r="CY28" s="30" t="str">
        <s:f>IF(D28="Да",CW28,"")</s:f>
        <s:v/>
      </s:c>
    </s:row>
    <s:row r="29" ht="21.75">
      <s:c r="A29" s="23"/>
      <s:c r="B29" s="24"/>
      <s:c r="C29" s="25"/>
      <s:c r="D29" s="49"/>
      <s:c r="E29" s="50"/>
      <s:c r="F29" s="74"/>
      <s:c r="G29" s="79"/>
      <s:c r="H29" s="26"/>
      <s:c r="I29" s="80"/>
      <s:c r="J29" s="76"/>
      <s:c r="K29" s="26"/>
      <s:c r="L29" s="27"/>
      <s:c r="M29" s="79"/>
      <s:c r="N29" s="26"/>
      <s:c r="O29" s="80"/>
      <s:c r="P29" s="76"/>
      <s:c r="Q29" s="26"/>
      <s:c r="R29" s="27"/>
      <s:c r="S29" s="79"/>
      <s:c r="T29" s="26"/>
      <s:c r="U29" s="80"/>
      <s:c r="V29" s="76"/>
      <s:c r="W29" s="26"/>
      <s:c r="X29" s="27"/>
      <s:c r="Y29" s="79"/>
      <s:c r="Z29" s="26"/>
      <s:c r="AA29" s="80"/>
      <s:c r="AB29" s="76"/>
      <s:c r="AC29" s="26"/>
      <s:c r="AD29" s="27"/>
      <s:c r="AE29" s="79"/>
      <s:c r="AF29" s="26"/>
      <s:c r="AG29" s="80"/>
      <s:c r="AH29" s="76"/>
      <s:c r="AI29" s="26"/>
      <s:c r="AJ29" s="27"/>
      <s:c r="AK29" s="79"/>
      <s:c r="AL29" s="26"/>
      <s:c r="AM29" s="80"/>
      <s:c r="AN29" s="76"/>
      <s:c r="AO29" s="26"/>
      <s:c r="AP29" s="27"/>
      <s:c r="AQ29" s="79"/>
      <s:c r="AR29" s="26"/>
      <s:c r="AS29" s="80"/>
      <s:c r="AT29" s="76"/>
      <s:c r="AU29" s="26"/>
      <s:c r="AV29" s="27"/>
      <s:c r="AW29" s="79"/>
      <s:c r="AX29" s="26"/>
      <s:c r="AY29" s="80"/>
      <s:c r="AZ29" s="76"/>
      <s:c r="BA29" s="26"/>
      <s:c r="BB29" s="27"/>
      <s:c r="BC29" s="79"/>
      <s:c r="BD29" s="26"/>
      <s:c r="BE29" s="80"/>
      <s:c r="BF29" s="76"/>
      <s:c r="BG29" s="26"/>
      <s:c r="BH29" s="27"/>
      <s:c r="BI29" s="79"/>
      <s:c r="BJ29" s="26"/>
      <s:c r="BK29" s="80"/>
      <s:c r="BL29" s="76"/>
      <s:c r="BM29" s="26"/>
      <s:c r="BN29" s="27"/>
      <s:c r="BO29" s="79"/>
      <s:c r="BP29" s="26"/>
      <s:c r="BQ29" s="80"/>
      <s:c r="BR29" s="76"/>
      <s:c r="BS29" s="26"/>
      <s:c r="BT29" s="27"/>
      <s:c r="BU29" s="79"/>
      <s:c r="BV29" s="26"/>
      <s:c r="BW29" s="80"/>
      <s:c r="BX29" s="76"/>
      <s:c r="BY29" s="26"/>
      <s:c r="BZ29" s="27"/>
      <s:c r="CA29" s="79"/>
      <s:c r="CB29" s="26"/>
      <s:c r="CC29" s="80"/>
      <s:c r="CD29" s="76"/>
      <s:c r="CE29" s="26"/>
      <s:c r="CF29" s="27"/>
      <s:c r="CG29" s="79"/>
      <s:c r="CH29" s="26"/>
      <s:c r="CI29" s="80"/>
      <s:c r="CJ29" s="76"/>
      <s:c r="CK29" s="26"/>
      <s:c r="CL29" s="27"/>
      <s:c r="CM29" s="79"/>
      <s:c r="CN29" s="26"/>
      <s:c r="CO29" s="80"/>
      <s:c r="CP29" s="76"/>
      <s:c r="CQ29" s="26"/>
      <s:c r="CR29" s="27"/>
      <s:c r="CS29" s="62">
        <s:f>SUMIFS(D29:CR29,$D$3:$CR$3,"З")</s:f>
        <s:v>0</s:v>
      </s:c>
      <s:c r="CT29" s="63">
        <s:f>SUMIFS(D29:CR29,$D$3:$CR$3,"О")</s:f>
        <s:v>0</s:v>
      </s:c>
      <s:c r="CU29" s="63">
        <s:f>SUMIFS(D29:CR29,$D$3:$CR$3,"У")</s:f>
        <s:v>0</s:v>
      </s:c>
      <s:c r="CV29" s="28">
        <s:f>IF(C29="Да",CS29*$D$46+CT29*$D$47+CU29*$D$48,CS29*$C$46+CT29*$C$47+CU29*$C$48)</s:f>
        <s:v>0</s:v>
      </s:c>
      <s:c r="CW29" s="29" t="str">
        <s:f>IF(C29="Нет",CV29,"")</s:f>
        <s:v/>
      </s:c>
      <s:c r="CX29" s="30" t="str">
        <s:f>IF(C29="Да",CV29,"")</s:f>
        <s:v/>
      </s:c>
      <s:c r="CY29" s="30" t="str">
        <s:f>IF(D29="Да",CW29,"")</s:f>
        <s:v/>
      </s:c>
    </s:row>
    <s:row r="30" ht="21.75">
      <s:c r="A30" s="23"/>
      <s:c r="B30" s="24"/>
      <s:c r="C30" s="25"/>
      <s:c r="D30" s="49"/>
      <s:c r="E30" s="50"/>
      <s:c r="F30" s="74"/>
      <s:c r="G30" s="79"/>
      <s:c r="H30" s="26"/>
      <s:c r="I30" s="80"/>
      <s:c r="J30" s="76"/>
      <s:c r="K30" s="26"/>
      <s:c r="L30" s="27"/>
      <s:c r="M30" s="79"/>
      <s:c r="N30" s="26"/>
      <s:c r="O30" s="80"/>
      <s:c r="P30" s="76"/>
      <s:c r="Q30" s="26"/>
      <s:c r="R30" s="27"/>
      <s:c r="S30" s="79"/>
      <s:c r="T30" s="26"/>
      <s:c r="U30" s="80"/>
      <s:c r="V30" s="76"/>
      <s:c r="W30" s="26"/>
      <s:c r="X30" s="27"/>
      <s:c r="Y30" s="79"/>
      <s:c r="Z30" s="26"/>
      <s:c r="AA30" s="80"/>
      <s:c r="AB30" s="76"/>
      <s:c r="AC30" s="26"/>
      <s:c r="AD30" s="27"/>
      <s:c r="AE30" s="79"/>
      <s:c r="AF30" s="26"/>
      <s:c r="AG30" s="80"/>
      <s:c r="AH30" s="76"/>
      <s:c r="AI30" s="26"/>
      <s:c r="AJ30" s="27"/>
      <s:c r="AK30" s="79"/>
      <s:c r="AL30" s="26"/>
      <s:c r="AM30" s="80"/>
      <s:c r="AN30" s="76"/>
      <s:c r="AO30" s="26"/>
      <s:c r="AP30" s="27"/>
      <s:c r="AQ30" s="79"/>
      <s:c r="AR30" s="26"/>
      <s:c r="AS30" s="80"/>
      <s:c r="AT30" s="76"/>
      <s:c r="AU30" s="26"/>
      <s:c r="AV30" s="27"/>
      <s:c r="AW30" s="79"/>
      <s:c r="AX30" s="26"/>
      <s:c r="AY30" s="80"/>
      <s:c r="AZ30" s="76"/>
      <s:c r="BA30" s="26"/>
      <s:c r="BB30" s="27"/>
      <s:c r="BC30" s="79"/>
      <s:c r="BD30" s="26"/>
      <s:c r="BE30" s="80"/>
      <s:c r="BF30" s="76"/>
      <s:c r="BG30" s="26"/>
      <s:c r="BH30" s="27"/>
      <s:c r="BI30" s="79"/>
      <s:c r="BJ30" s="26"/>
      <s:c r="BK30" s="80"/>
      <s:c r="BL30" s="76"/>
      <s:c r="BM30" s="26"/>
      <s:c r="BN30" s="27"/>
      <s:c r="BO30" s="79"/>
      <s:c r="BP30" s="26"/>
      <s:c r="BQ30" s="80"/>
      <s:c r="BR30" s="76"/>
      <s:c r="BS30" s="26"/>
      <s:c r="BT30" s="27"/>
      <s:c r="BU30" s="79"/>
      <s:c r="BV30" s="26"/>
      <s:c r="BW30" s="80"/>
      <s:c r="BX30" s="76"/>
      <s:c r="BY30" s="26"/>
      <s:c r="BZ30" s="27"/>
      <s:c r="CA30" s="79"/>
      <s:c r="CB30" s="26"/>
      <s:c r="CC30" s="80"/>
      <s:c r="CD30" s="76"/>
      <s:c r="CE30" s="26"/>
      <s:c r="CF30" s="27"/>
      <s:c r="CG30" s="79"/>
      <s:c r="CH30" s="26"/>
      <s:c r="CI30" s="80"/>
      <s:c r="CJ30" s="76"/>
      <s:c r="CK30" s="26"/>
      <s:c r="CL30" s="27"/>
      <s:c r="CM30" s="79"/>
      <s:c r="CN30" s="26"/>
      <s:c r="CO30" s="80"/>
      <s:c r="CP30" s="76"/>
      <s:c r="CQ30" s="26"/>
      <s:c r="CR30" s="27"/>
      <s:c r="CS30" s="62">
        <s:f>SUMIFS(D30:CR30,$D$3:$CR$3,"З")</s:f>
        <s:v>0</s:v>
      </s:c>
      <s:c r="CT30" s="63">
        <s:f>SUMIFS(D30:CR30,$D$3:$CR$3,"О")</s:f>
        <s:v>0</s:v>
      </s:c>
      <s:c r="CU30" s="63">
        <s:f>SUMIFS(D30:CR30,$D$3:$CR$3,"У")</s:f>
        <s:v>0</s:v>
      </s:c>
      <s:c r="CV30" s="28">
        <s:f>IF(C30="Да",CS30*$D$46+CT30*$D$47+CU30*$D$48,CS30*$C$46+CT30*$C$47+CU30*$C$48)</s:f>
        <s:v>0</s:v>
      </s:c>
      <s:c r="CW30" s="29" t="str">
        <s:f>IF(C30="Нет",CV30,"")</s:f>
        <s:v/>
      </s:c>
      <s:c r="CX30" s="30" t="str">
        <s:f>IF(C30="Да",CV30,"")</s:f>
        <s:v/>
      </s:c>
      <s:c r="CY30" s="30" t="str">
        <s:f>IF(D30="Да",CW30,"")</s:f>
        <s:v/>
      </s:c>
    </s:row>
    <s:row r="31" ht="21.75">
      <s:c r="A31" s="23"/>
      <s:c r="B31" s="24"/>
      <s:c r="C31" s="25"/>
      <s:c r="D31" s="49"/>
      <s:c r="E31" s="50"/>
      <s:c r="F31" s="74"/>
      <s:c r="G31" s="79"/>
      <s:c r="H31" s="26"/>
      <s:c r="I31" s="80"/>
      <s:c r="J31" s="76"/>
      <s:c r="K31" s="26"/>
      <s:c r="L31" s="27"/>
      <s:c r="M31" s="79"/>
      <s:c r="N31" s="26"/>
      <s:c r="O31" s="80"/>
      <s:c r="P31" s="76"/>
      <s:c r="Q31" s="26"/>
      <s:c r="R31" s="27"/>
      <s:c r="S31" s="79"/>
      <s:c r="T31" s="26"/>
      <s:c r="U31" s="80"/>
      <s:c r="V31" s="76"/>
      <s:c r="W31" s="26"/>
      <s:c r="X31" s="27"/>
      <s:c r="Y31" s="79"/>
      <s:c r="Z31" s="26"/>
      <s:c r="AA31" s="80"/>
      <s:c r="AB31" s="76"/>
      <s:c r="AC31" s="26"/>
      <s:c r="AD31" s="27"/>
      <s:c r="AE31" s="79"/>
      <s:c r="AF31" s="26"/>
      <s:c r="AG31" s="80"/>
      <s:c r="AH31" s="76"/>
      <s:c r="AI31" s="26"/>
      <s:c r="AJ31" s="27"/>
      <s:c r="AK31" s="79"/>
      <s:c r="AL31" s="26"/>
      <s:c r="AM31" s="80"/>
      <s:c r="AN31" s="76"/>
      <s:c r="AO31" s="26"/>
      <s:c r="AP31" s="27"/>
      <s:c r="AQ31" s="79"/>
      <s:c r="AR31" s="26"/>
      <s:c r="AS31" s="80"/>
      <s:c r="AT31" s="76"/>
      <s:c r="AU31" s="26"/>
      <s:c r="AV31" s="27"/>
      <s:c r="AW31" s="79"/>
      <s:c r="AX31" s="26"/>
      <s:c r="AY31" s="80"/>
      <s:c r="AZ31" s="76"/>
      <s:c r="BA31" s="26"/>
      <s:c r="BB31" s="27"/>
      <s:c r="BC31" s="79"/>
      <s:c r="BD31" s="26"/>
      <s:c r="BE31" s="80"/>
      <s:c r="BF31" s="76"/>
      <s:c r="BG31" s="26"/>
      <s:c r="BH31" s="27"/>
      <s:c r="BI31" s="79"/>
      <s:c r="BJ31" s="26"/>
      <s:c r="BK31" s="80"/>
      <s:c r="BL31" s="76"/>
      <s:c r="BM31" s="26"/>
      <s:c r="BN31" s="27"/>
      <s:c r="BO31" s="79"/>
      <s:c r="BP31" s="26"/>
      <s:c r="BQ31" s="80"/>
      <s:c r="BR31" s="76"/>
      <s:c r="BS31" s="26"/>
      <s:c r="BT31" s="27"/>
      <s:c r="BU31" s="79"/>
      <s:c r="BV31" s="26"/>
      <s:c r="BW31" s="80"/>
      <s:c r="BX31" s="76"/>
      <s:c r="BY31" s="26"/>
      <s:c r="BZ31" s="27"/>
      <s:c r="CA31" s="79"/>
      <s:c r="CB31" s="26"/>
      <s:c r="CC31" s="80"/>
      <s:c r="CD31" s="76"/>
      <s:c r="CE31" s="26"/>
      <s:c r="CF31" s="27"/>
      <s:c r="CG31" s="79"/>
      <s:c r="CH31" s="26"/>
      <s:c r="CI31" s="80"/>
      <s:c r="CJ31" s="76"/>
      <s:c r="CK31" s="26"/>
      <s:c r="CL31" s="27"/>
      <s:c r="CM31" s="79"/>
      <s:c r="CN31" s="26"/>
      <s:c r="CO31" s="80"/>
      <s:c r="CP31" s="76"/>
      <s:c r="CQ31" s="26"/>
      <s:c r="CR31" s="27"/>
      <s:c r="CS31" s="62">
        <s:f>SUMIFS(D31:CR31,$D$3:$CR$3,"З")</s:f>
        <s:v>0</s:v>
      </s:c>
      <s:c r="CT31" s="63">
        <s:f>SUMIFS(D31:CR31,$D$3:$CR$3,"О")</s:f>
        <s:v>0</s:v>
      </s:c>
      <s:c r="CU31" s="63">
        <s:f>SUMIFS(D31:CR31,$D$3:$CR$3,"У")</s:f>
        <s:v>0</s:v>
      </s:c>
      <s:c r="CV31" s="28">
        <s:f>IF(C31="Да",CS31*$D$46+CT31*$D$47+CU31*$D$48,CS31*$C$46+CT31*$C$47+CU31*$C$48)</s:f>
        <s:v>0</s:v>
      </s:c>
      <s:c r="CW31" s="29" t="str">
        <s:f>IF(C31="Нет",CV31,"")</s:f>
        <s:v/>
      </s:c>
      <s:c r="CX31" s="30" t="str">
        <s:f>IF(C31="Да",CV31,"")</s:f>
        <s:v/>
      </s:c>
      <s:c r="CY31" s="30" t="str">
        <s:f>IF(D31="Да",CW31,"")</s:f>
        <s:v/>
      </s:c>
    </s:row>
    <s:row r="32" ht="21.75">
      <s:c r="A32" s="23"/>
      <s:c r="B32" s="33"/>
      <s:c r="C32" s="34"/>
      <s:c r="D32" s="53"/>
      <s:c r="E32" s="54"/>
      <s:c r="F32" s="74"/>
      <s:c r="G32" s="79"/>
      <s:c r="H32" s="26"/>
      <s:c r="I32" s="80"/>
      <s:c r="J32" s="76"/>
      <s:c r="K32" s="26"/>
      <s:c r="L32" s="27"/>
      <s:c r="M32" s="79"/>
      <s:c r="N32" s="26"/>
      <s:c r="O32" s="80"/>
      <s:c r="P32" s="76"/>
      <s:c r="Q32" s="26"/>
      <s:c r="R32" s="27"/>
      <s:c r="S32" s="79"/>
      <s:c r="T32" s="26"/>
      <s:c r="U32" s="80"/>
      <s:c r="V32" s="76"/>
      <s:c r="W32" s="26"/>
      <s:c r="X32" s="27"/>
      <s:c r="Y32" s="79"/>
      <s:c r="Z32" s="26"/>
      <s:c r="AA32" s="80"/>
      <s:c r="AB32" s="76"/>
      <s:c r="AC32" s="26"/>
      <s:c r="AD32" s="27"/>
      <s:c r="AE32" s="79"/>
      <s:c r="AF32" s="26"/>
      <s:c r="AG32" s="80"/>
      <s:c r="AH32" s="76"/>
      <s:c r="AI32" s="26"/>
      <s:c r="AJ32" s="27"/>
      <s:c r="AK32" s="79"/>
      <s:c r="AL32" s="26"/>
      <s:c r="AM32" s="80"/>
      <s:c r="AN32" s="76"/>
      <s:c r="AO32" s="26"/>
      <s:c r="AP32" s="27"/>
      <s:c r="AQ32" s="79"/>
      <s:c r="AR32" s="26"/>
      <s:c r="AS32" s="80"/>
      <s:c r="AT32" s="76"/>
      <s:c r="AU32" s="26"/>
      <s:c r="AV32" s="27"/>
      <s:c r="AW32" s="79"/>
      <s:c r="AX32" s="26"/>
      <s:c r="AY32" s="80"/>
      <s:c r="AZ32" s="76"/>
      <s:c r="BA32" s="26"/>
      <s:c r="BB32" s="27"/>
      <s:c r="BC32" s="79"/>
      <s:c r="BD32" s="26"/>
      <s:c r="BE32" s="80"/>
      <s:c r="BF32" s="76"/>
      <s:c r="BG32" s="26"/>
      <s:c r="BH32" s="27"/>
      <s:c r="BI32" s="79"/>
      <s:c r="BJ32" s="26"/>
      <s:c r="BK32" s="80"/>
      <s:c r="BL32" s="76"/>
      <s:c r="BM32" s="26"/>
      <s:c r="BN32" s="27"/>
      <s:c r="BO32" s="79"/>
      <s:c r="BP32" s="26"/>
      <s:c r="BQ32" s="80"/>
      <s:c r="BR32" s="76"/>
      <s:c r="BS32" s="26"/>
      <s:c r="BT32" s="27"/>
      <s:c r="BU32" s="79"/>
      <s:c r="BV32" s="26"/>
      <s:c r="BW32" s="80"/>
      <s:c r="BX32" s="76"/>
      <s:c r="BY32" s="26"/>
      <s:c r="BZ32" s="27"/>
      <s:c r="CA32" s="79"/>
      <s:c r="CB32" s="26"/>
      <s:c r="CC32" s="80"/>
      <s:c r="CD32" s="76"/>
      <s:c r="CE32" s="26"/>
      <s:c r="CF32" s="27"/>
      <s:c r="CG32" s="79"/>
      <s:c r="CH32" s="26"/>
      <s:c r="CI32" s="80"/>
      <s:c r="CJ32" s="76"/>
      <s:c r="CK32" s="26"/>
      <s:c r="CL32" s="27"/>
      <s:c r="CM32" s="79"/>
      <s:c r="CN32" s="26"/>
      <s:c r="CO32" s="80"/>
      <s:c r="CP32" s="76"/>
      <s:c r="CQ32" s="26"/>
      <s:c r="CR32" s="27"/>
      <s:c r="CS32" s="62">
        <s:f>SUMIFS(D32:CR32,$D$3:$CR$3,"З")</s:f>
        <s:v>0</s:v>
      </s:c>
      <s:c r="CT32" s="63">
        <s:f>SUMIFS(D32:CR32,$D$3:$CR$3,"О")</s:f>
        <s:v>0</s:v>
      </s:c>
      <s:c r="CU32" s="63">
        <s:f>SUMIFS(D32:CR32,$D$3:$CR$3,"У")</s:f>
        <s:v>0</s:v>
      </s:c>
      <s:c r="CV32" s="28">
        <s:f>IF(C32="Да",CS32*$D$46+CT32*$D$47+CU32*$D$48,CS32*$C$46+CT32*$C$47+CU32*$C$48)</s:f>
        <s:v>0</s:v>
      </s:c>
      <s:c r="CW32" s="29" t="str">
        <s:f>IF(C32="Нет",CV32,"")</s:f>
        <s:v/>
      </s:c>
      <s:c r="CX32" s="30" t="str">
        <s:f>IF(C32="Да",CV32,"")</s:f>
        <s:v/>
      </s:c>
      <s:c r="CY32" s="30" t="str">
        <s:f>IF(D32="Да",CW32,"")</s:f>
        <s:v/>
      </s:c>
    </s:row>
    <s:row r="33" ht="21.75">
      <s:c r="A33" s="23"/>
      <s:c r="B33" s="35"/>
      <s:c r="C33" s="36"/>
      <s:c r="D33" s="49"/>
      <s:c r="E33" s="50"/>
      <s:c r="F33" s="74"/>
      <s:c r="G33" s="79"/>
      <s:c r="H33" s="26"/>
      <s:c r="I33" s="80"/>
      <s:c r="J33" s="76"/>
      <s:c r="K33" s="26"/>
      <s:c r="L33" s="27"/>
      <s:c r="M33" s="79"/>
      <s:c r="N33" s="26"/>
      <s:c r="O33" s="80"/>
      <s:c r="P33" s="76"/>
      <s:c r="Q33" s="26"/>
      <s:c r="R33" s="27"/>
      <s:c r="S33" s="79"/>
      <s:c r="T33" s="26"/>
      <s:c r="U33" s="80"/>
      <s:c r="V33" s="76"/>
      <s:c r="W33" s="26"/>
      <s:c r="X33" s="27"/>
      <s:c r="Y33" s="79"/>
      <s:c r="Z33" s="26"/>
      <s:c r="AA33" s="80"/>
      <s:c r="AB33" s="76"/>
      <s:c r="AC33" s="26"/>
      <s:c r="AD33" s="27"/>
      <s:c r="AE33" s="79"/>
      <s:c r="AF33" s="26"/>
      <s:c r="AG33" s="80"/>
      <s:c r="AH33" s="76"/>
      <s:c r="AI33" s="26"/>
      <s:c r="AJ33" s="27"/>
      <s:c r="AK33" s="79"/>
      <s:c r="AL33" s="26"/>
      <s:c r="AM33" s="80"/>
      <s:c r="AN33" s="76"/>
      <s:c r="AO33" s="26"/>
      <s:c r="AP33" s="27"/>
      <s:c r="AQ33" s="79"/>
      <s:c r="AR33" s="26"/>
      <s:c r="AS33" s="80"/>
      <s:c r="AT33" s="76"/>
      <s:c r="AU33" s="26"/>
      <s:c r="AV33" s="27"/>
      <s:c r="AW33" s="79"/>
      <s:c r="AX33" s="26"/>
      <s:c r="AY33" s="80"/>
      <s:c r="AZ33" s="76"/>
      <s:c r="BA33" s="26"/>
      <s:c r="BB33" s="27"/>
      <s:c r="BC33" s="79"/>
      <s:c r="BD33" s="26"/>
      <s:c r="BE33" s="80"/>
      <s:c r="BF33" s="76"/>
      <s:c r="BG33" s="26"/>
      <s:c r="BH33" s="27"/>
      <s:c r="BI33" s="79"/>
      <s:c r="BJ33" s="26"/>
      <s:c r="BK33" s="80"/>
      <s:c r="BL33" s="76"/>
      <s:c r="BM33" s="26"/>
      <s:c r="BN33" s="27"/>
      <s:c r="BO33" s="79"/>
      <s:c r="BP33" s="26"/>
      <s:c r="BQ33" s="80"/>
      <s:c r="BR33" s="76"/>
      <s:c r="BS33" s="26"/>
      <s:c r="BT33" s="27"/>
      <s:c r="BU33" s="79"/>
      <s:c r="BV33" s="26"/>
      <s:c r="BW33" s="80"/>
      <s:c r="BX33" s="76"/>
      <s:c r="BY33" s="26"/>
      <s:c r="BZ33" s="27"/>
      <s:c r="CA33" s="79"/>
      <s:c r="CB33" s="26"/>
      <s:c r="CC33" s="80"/>
      <s:c r="CD33" s="76"/>
      <s:c r="CE33" s="26"/>
      <s:c r="CF33" s="27"/>
      <s:c r="CG33" s="79"/>
      <s:c r="CH33" s="26"/>
      <s:c r="CI33" s="80"/>
      <s:c r="CJ33" s="76"/>
      <s:c r="CK33" s="26"/>
      <s:c r="CL33" s="27"/>
      <s:c r="CM33" s="79"/>
      <s:c r="CN33" s="26"/>
      <s:c r="CO33" s="80"/>
      <s:c r="CP33" s="76"/>
      <s:c r="CQ33" s="26"/>
      <s:c r="CR33" s="27"/>
      <s:c r="CS33" s="62">
        <s:f>SUMIFS(D33:CR33,$D$3:$CR$3,"З")</s:f>
        <s:v>0</s:v>
      </s:c>
      <s:c r="CT33" s="63">
        <s:f>SUMIFS(D33:CR33,$D$3:$CR$3,"О")</s:f>
        <s:v>0</s:v>
      </s:c>
      <s:c r="CU33" s="63">
        <s:f>SUMIFS(D33:CR33,$D$3:$CR$3,"У")</s:f>
        <s:v>0</s:v>
      </s:c>
      <s:c r="CV33" s="28">
        <s:f>IF(C33="Да",CS33*$D$46+CT33*$D$47+CU33*$D$48,CS33*$C$46+CT33*$C$47+CU33*$C$48)</s:f>
        <s:v>0</s:v>
      </s:c>
      <s:c r="CW33" s="29" t="str">
        <s:f>IF(C33="Нет",CV33,"")</s:f>
        <s:v/>
      </s:c>
      <s:c r="CX33" s="30" t="str">
        <s:f>IF(C33="Да",CV33,"")</s:f>
        <s:v/>
      </s:c>
      <s:c r="CY33" s="30" t="str">
        <s:f>IF(D33="Да",CW33,"")</s:f>
        <s:v/>
      </s:c>
    </s:row>
    <s:row r="34" ht="21.75">
      <s:c r="A34" s="23"/>
      <s:c r="B34" s="35"/>
      <s:c r="C34" s="36"/>
      <s:c r="D34" s="49"/>
      <s:c r="E34" s="50"/>
      <s:c r="F34" s="74"/>
      <s:c r="G34" s="79"/>
      <s:c r="H34" s="26"/>
      <s:c r="I34" s="80"/>
      <s:c r="J34" s="76"/>
      <s:c r="K34" s="26"/>
      <s:c r="L34" s="27"/>
      <s:c r="M34" s="79"/>
      <s:c r="N34" s="26"/>
      <s:c r="O34" s="80"/>
      <s:c r="P34" s="76"/>
      <s:c r="Q34" s="26"/>
      <s:c r="R34" s="27"/>
      <s:c r="S34" s="79"/>
      <s:c r="T34" s="26"/>
      <s:c r="U34" s="80"/>
      <s:c r="V34" s="76"/>
      <s:c r="W34" s="26"/>
      <s:c r="X34" s="27"/>
      <s:c r="Y34" s="79"/>
      <s:c r="Z34" s="26"/>
      <s:c r="AA34" s="80"/>
      <s:c r="AB34" s="76"/>
      <s:c r="AC34" s="26"/>
      <s:c r="AD34" s="27"/>
      <s:c r="AE34" s="79"/>
      <s:c r="AF34" s="26"/>
      <s:c r="AG34" s="80"/>
      <s:c r="AH34" s="76"/>
      <s:c r="AI34" s="26"/>
      <s:c r="AJ34" s="27"/>
      <s:c r="AK34" s="79"/>
      <s:c r="AL34" s="26"/>
      <s:c r="AM34" s="80"/>
      <s:c r="AN34" s="76"/>
      <s:c r="AO34" s="26"/>
      <s:c r="AP34" s="27"/>
      <s:c r="AQ34" s="79"/>
      <s:c r="AR34" s="26"/>
      <s:c r="AS34" s="80"/>
      <s:c r="AT34" s="76"/>
      <s:c r="AU34" s="26"/>
      <s:c r="AV34" s="27"/>
      <s:c r="AW34" s="79"/>
      <s:c r="AX34" s="26"/>
      <s:c r="AY34" s="80"/>
      <s:c r="AZ34" s="76"/>
      <s:c r="BA34" s="26"/>
      <s:c r="BB34" s="27"/>
      <s:c r="BC34" s="79"/>
      <s:c r="BD34" s="26"/>
      <s:c r="BE34" s="80"/>
      <s:c r="BF34" s="76"/>
      <s:c r="BG34" s="26"/>
      <s:c r="BH34" s="27"/>
      <s:c r="BI34" s="79"/>
      <s:c r="BJ34" s="26"/>
      <s:c r="BK34" s="80"/>
      <s:c r="BL34" s="76"/>
      <s:c r="BM34" s="26"/>
      <s:c r="BN34" s="27"/>
      <s:c r="BO34" s="79"/>
      <s:c r="BP34" s="26"/>
      <s:c r="BQ34" s="80"/>
      <s:c r="BR34" s="76"/>
      <s:c r="BS34" s="26"/>
      <s:c r="BT34" s="27"/>
      <s:c r="BU34" s="79"/>
      <s:c r="BV34" s="26"/>
      <s:c r="BW34" s="80"/>
      <s:c r="BX34" s="76"/>
      <s:c r="BY34" s="26"/>
      <s:c r="BZ34" s="27"/>
      <s:c r="CA34" s="79"/>
      <s:c r="CB34" s="26"/>
      <s:c r="CC34" s="80"/>
      <s:c r="CD34" s="76"/>
      <s:c r="CE34" s="26"/>
      <s:c r="CF34" s="27"/>
      <s:c r="CG34" s="79"/>
      <s:c r="CH34" s="26"/>
      <s:c r="CI34" s="80"/>
      <s:c r="CJ34" s="76"/>
      <s:c r="CK34" s="26"/>
      <s:c r="CL34" s="27"/>
      <s:c r="CM34" s="79"/>
      <s:c r="CN34" s="26"/>
      <s:c r="CO34" s="80"/>
      <s:c r="CP34" s="76"/>
      <s:c r="CQ34" s="26"/>
      <s:c r="CR34" s="27"/>
      <s:c r="CS34" s="62">
        <s:f>SUMIFS(D34:CR34,$D$3:$CR$3,"З")</s:f>
        <s:v>0</s:v>
      </s:c>
      <s:c r="CT34" s="63">
        <s:f>SUMIFS(D34:CR34,$D$3:$CR$3,"О")</s:f>
        <s:v>0</s:v>
      </s:c>
      <s:c r="CU34" s="63">
        <s:f>SUMIFS(D34:CR34,$D$3:$CR$3,"У")</s:f>
        <s:v>0</s:v>
      </s:c>
      <s:c r="CV34" s="28">
        <s:f>IF(C34="Да",CS34*$D$46+CT34*$D$47+CU34*$D$48,CS34*$C$46+CT34*$C$47+CU34*$C$48)</s:f>
        <s:v>0</s:v>
      </s:c>
      <s:c r="CW34" s="29" t="str">
        <s:f>IF(C34="Нет",CV34,"")</s:f>
        <s:v/>
      </s:c>
      <s:c r="CX34" s="30" t="str">
        <s:f>IF(C34="Да",CV34,"")</s:f>
        <s:v/>
      </s:c>
      <s:c r="CY34" s="30" t="str">
        <s:f>IF(D34="Да",CW34,"")</s:f>
        <s:v/>
      </s:c>
    </s:row>
    <s:row r="35" ht="21.75">
      <s:c r="A35" s="37"/>
      <s:c r="B35" s="38"/>
      <s:c r="C35" s="39"/>
      <s:c r="D35" s="55"/>
      <s:c r="E35" s="56"/>
      <s:c r="F35" s="75"/>
      <s:c r="G35" s="81"/>
      <s:c r="H35" s="40"/>
      <s:c r="I35" s="82"/>
      <s:c r="J35" s="77"/>
      <s:c r="K35" s="40"/>
      <s:c r="L35" s="41"/>
      <s:c r="M35" s="81"/>
      <s:c r="N35" s="40"/>
      <s:c r="O35" s="82"/>
      <s:c r="P35" s="77"/>
      <s:c r="Q35" s="40"/>
      <s:c r="R35" s="41"/>
      <s:c r="S35" s="81"/>
      <s:c r="T35" s="40"/>
      <s:c r="U35" s="82"/>
      <s:c r="V35" s="77"/>
      <s:c r="W35" s="40"/>
      <s:c r="X35" s="41"/>
      <s:c r="Y35" s="81"/>
      <s:c r="Z35" s="40"/>
      <s:c r="AA35" s="82"/>
      <s:c r="AB35" s="77"/>
      <s:c r="AC35" s="40"/>
      <s:c r="AD35" s="41"/>
      <s:c r="AE35" s="81"/>
      <s:c r="AF35" s="40"/>
      <s:c r="AG35" s="82"/>
      <s:c r="AH35" s="77"/>
      <s:c r="AI35" s="40"/>
      <s:c r="AJ35" s="41"/>
      <s:c r="AK35" s="81"/>
      <s:c r="AL35" s="40"/>
      <s:c r="AM35" s="82"/>
      <s:c r="AN35" s="77"/>
      <s:c r="AO35" s="40"/>
      <s:c r="AP35" s="41"/>
      <s:c r="AQ35" s="81"/>
      <s:c r="AR35" s="40"/>
      <s:c r="AS35" s="82"/>
      <s:c r="AT35" s="77"/>
      <s:c r="AU35" s="40"/>
      <s:c r="AV35" s="41"/>
      <s:c r="AW35" s="81"/>
      <s:c r="AX35" s="40"/>
      <s:c r="AY35" s="82"/>
      <s:c r="AZ35" s="77"/>
      <s:c r="BA35" s="40"/>
      <s:c r="BB35" s="41"/>
      <s:c r="BC35" s="81"/>
      <s:c r="BD35" s="40"/>
      <s:c r="BE35" s="82"/>
      <s:c r="BF35" s="77"/>
      <s:c r="BG35" s="40"/>
      <s:c r="BH35" s="41"/>
      <s:c r="BI35" s="81"/>
      <s:c r="BJ35" s="40"/>
      <s:c r="BK35" s="82"/>
      <s:c r="BL35" s="77"/>
      <s:c r="BM35" s="40"/>
      <s:c r="BN35" s="41"/>
      <s:c r="BO35" s="81"/>
      <s:c r="BP35" s="40"/>
      <s:c r="BQ35" s="82"/>
      <s:c r="BR35" s="77"/>
      <s:c r="BS35" s="40"/>
      <s:c r="BT35" s="41"/>
      <s:c r="BU35" s="81"/>
      <s:c r="BV35" s="40"/>
      <s:c r="BW35" s="82"/>
      <s:c r="BX35" s="77"/>
      <s:c r="BY35" s="40"/>
      <s:c r="BZ35" s="41"/>
      <s:c r="CA35" s="81"/>
      <s:c r="CB35" s="40"/>
      <s:c r="CC35" s="82"/>
      <s:c r="CD35" s="77"/>
      <s:c r="CE35" s="40"/>
      <s:c r="CF35" s="41"/>
      <s:c r="CG35" s="81"/>
      <s:c r="CH35" s="40"/>
      <s:c r="CI35" s="82"/>
      <s:c r="CJ35" s="77"/>
      <s:c r="CK35" s="40"/>
      <s:c r="CL35" s="41"/>
      <s:c r="CM35" s="81"/>
      <s:c r="CN35" s="40"/>
      <s:c r="CO35" s="82"/>
      <s:c r="CP35" s="77"/>
      <s:c r="CQ35" s="40"/>
      <s:c r="CR35" s="41"/>
      <s:c r="CS35" s="67">
        <s:f>SUMIFS(D35:CR35,$D$3:$CR$3,"З")</s:f>
        <s:v>0</s:v>
      </s:c>
      <s:c r="CT35" s="68">
        <s:f>SUMIFS(D35:CR35,$D$3:$CR$3,"О")</s:f>
        <s:v>0</s:v>
      </s:c>
      <s:c r="CU35" s="68">
        <s:f>SUMIFS(D35:CR35,$D$3:$CR$3,"У")</s:f>
        <s:v>0</s:v>
      </s:c>
      <s:c r="CV35" s="42">
        <s:f>IF(C35="Да",CS35*$D$46+CT35*$D$47+CU35*$D$48,CS35*$C$46+CT35*$C$47+CU35*$C$48)</s:f>
        <s:v>0</s:v>
      </s:c>
      <s:c r="CW35" s="43" t="str">
        <s:f>IF(C35="Нет",CV35,"")</s:f>
        <s:v/>
      </s:c>
      <s:c r="CX35" s="44" t="str">
        <s:f>IF(C35="Да",CV35,"")</s:f>
        <s:v/>
      </s:c>
      <s:c r="CY35" s="44" t="str">
        <s:f>IF(D35="Да",CW35,"")</s:f>
        <s:v/>
      </s:c>
    </s:row>
    <s:row r="36" ht="21.75">
      <s:c r="A36" s="45"/>
      <s:c r="B36" s="46"/>
      <s:c r="C36" s="47"/>
      <s:c r="D36" s="7" t="s">
        <s:v>10</s:v>
      </s:c>
      <s:c r="E36" s="8" t="s">
        <s:v>11</s:v>
      </s:c>
      <s:c r="F36" s="94" t="s">
        <s:v>12</s:v>
      </s:c>
      <s:c r="G36" s="97" t="s">
        <s:v>10</s:v>
      </s:c>
      <s:c r="H36" s="8" t="s">
        <s:v>11</s:v>
      </s:c>
      <s:c r="I36" s="98" t="s">
        <s:v>12</s:v>
      </s:c>
      <s:c r="J36" s="7" t="s">
        <s:v>10</s:v>
      </s:c>
      <s:c r="K36" s="8" t="s">
        <s:v>11</s:v>
      </s:c>
      <s:c r="L36" s="94" t="s">
        <s:v>12</s:v>
      </s:c>
      <s:c r="M36" s="97" t="s">
        <s:v>10</s:v>
      </s:c>
      <s:c r="N36" s="8" t="s">
        <s:v>11</s:v>
      </s:c>
      <s:c r="O36" s="98" t="s">
        <s:v>12</s:v>
      </s:c>
      <s:c r="P36" s="7" t="s">
        <s:v>10</s:v>
      </s:c>
      <s:c r="Q36" s="8" t="s">
        <s:v>11</s:v>
      </s:c>
      <s:c r="R36" s="94" t="s">
        <s:v>12</s:v>
      </s:c>
      <s:c r="S36" s="97" t="s">
        <s:v>10</s:v>
      </s:c>
      <s:c r="T36" s="8" t="s">
        <s:v>11</s:v>
      </s:c>
      <s:c r="U36" s="98" t="s">
        <s:v>12</s:v>
      </s:c>
      <s:c r="V36" s="7" t="s">
        <s:v>10</s:v>
      </s:c>
      <s:c r="W36" s="8" t="s">
        <s:v>11</s:v>
      </s:c>
      <s:c r="X36" s="94" t="s">
        <s:v>12</s:v>
      </s:c>
      <s:c r="Y36" s="97" t="s">
        <s:v>10</s:v>
      </s:c>
      <s:c r="Z36" s="8" t="s">
        <s:v>11</s:v>
      </s:c>
      <s:c r="AA36" s="98" t="s">
        <s:v>12</s:v>
      </s:c>
      <s:c r="AB36" s="7" t="s">
        <s:v>10</s:v>
      </s:c>
      <s:c r="AC36" s="8" t="s">
        <s:v>11</s:v>
      </s:c>
      <s:c r="AD36" s="94" t="s">
        <s:v>12</s:v>
      </s:c>
      <s:c r="AE36" s="97" t="s">
        <s:v>10</s:v>
      </s:c>
      <s:c r="AF36" s="8" t="s">
        <s:v>11</s:v>
      </s:c>
      <s:c r="AG36" s="98" t="s">
        <s:v>12</s:v>
      </s:c>
      <s:c r="AH36" s="7" t="s">
        <s:v>10</s:v>
      </s:c>
      <s:c r="AI36" s="8" t="s">
        <s:v>11</s:v>
      </s:c>
      <s:c r="AJ36" s="94" t="s">
        <s:v>12</s:v>
      </s:c>
      <s:c r="AK36" s="97" t="s">
        <s:v>10</s:v>
      </s:c>
      <s:c r="AL36" s="8" t="s">
        <s:v>11</s:v>
      </s:c>
      <s:c r="AM36" s="98" t="s">
        <s:v>12</s:v>
      </s:c>
      <s:c r="AN36" s="7" t="s">
        <s:v>10</s:v>
      </s:c>
      <s:c r="AO36" s="8" t="s">
        <s:v>11</s:v>
      </s:c>
      <s:c r="AP36" s="94" t="s">
        <s:v>12</s:v>
      </s:c>
      <s:c r="AQ36" s="97" t="s">
        <s:v>10</s:v>
      </s:c>
      <s:c r="AR36" s="8" t="s">
        <s:v>11</s:v>
      </s:c>
      <s:c r="AS36" s="98" t="s">
        <s:v>12</s:v>
      </s:c>
      <s:c r="AT36" s="7" t="s">
        <s:v>10</s:v>
      </s:c>
      <s:c r="AU36" s="8" t="s">
        <s:v>11</s:v>
      </s:c>
      <s:c r="AV36" s="94" t="s">
        <s:v>12</s:v>
      </s:c>
      <s:c r="AW36" s="97" t="s">
        <s:v>10</s:v>
      </s:c>
      <s:c r="AX36" s="8" t="s">
        <s:v>11</s:v>
      </s:c>
      <s:c r="AY36" s="98" t="s">
        <s:v>12</s:v>
      </s:c>
      <s:c r="AZ36" s="7" t="s">
        <s:v>10</s:v>
      </s:c>
      <s:c r="BA36" s="8" t="s">
        <s:v>11</s:v>
      </s:c>
      <s:c r="BB36" s="94" t="s">
        <s:v>12</s:v>
      </s:c>
      <s:c r="BC36" s="97" t="s">
        <s:v>10</s:v>
      </s:c>
      <s:c r="BD36" s="8" t="s">
        <s:v>11</s:v>
      </s:c>
      <s:c r="BE36" s="98" t="s">
        <s:v>12</s:v>
      </s:c>
      <s:c r="BF36" s="7" t="s">
        <s:v>10</s:v>
      </s:c>
      <s:c r="BG36" s="8" t="s">
        <s:v>11</s:v>
      </s:c>
      <s:c r="BH36" s="94" t="s">
        <s:v>12</s:v>
      </s:c>
      <s:c r="BI36" s="97" t="s">
        <s:v>10</s:v>
      </s:c>
      <s:c r="BJ36" s="8" t="s">
        <s:v>11</s:v>
      </s:c>
      <s:c r="BK36" s="98" t="s">
        <s:v>12</s:v>
      </s:c>
      <s:c r="BL36" s="7" t="s">
        <s:v>10</s:v>
      </s:c>
      <s:c r="BM36" s="8" t="s">
        <s:v>11</s:v>
      </s:c>
      <s:c r="BN36" s="94" t="s">
        <s:v>12</s:v>
      </s:c>
      <s:c r="BO36" s="97" t="s">
        <s:v>10</s:v>
      </s:c>
      <s:c r="BP36" s="8" t="s">
        <s:v>11</s:v>
      </s:c>
      <s:c r="BQ36" s="98" t="s">
        <s:v>12</s:v>
      </s:c>
      <s:c r="BR36" s="7" t="s">
        <s:v>10</s:v>
      </s:c>
      <s:c r="BS36" s="8" t="s">
        <s:v>11</s:v>
      </s:c>
      <s:c r="BT36" s="94" t="s">
        <s:v>12</s:v>
      </s:c>
      <s:c r="BU36" s="97" t="s">
        <s:v>10</s:v>
      </s:c>
      <s:c r="BV36" s="8" t="s">
        <s:v>11</s:v>
      </s:c>
      <s:c r="BW36" s="98" t="s">
        <s:v>12</s:v>
      </s:c>
      <s:c r="BX36" s="7" t="s">
        <s:v>10</s:v>
      </s:c>
      <s:c r="BY36" s="8" t="s">
        <s:v>11</s:v>
      </s:c>
      <s:c r="BZ36" s="94" t="s">
        <s:v>12</s:v>
      </s:c>
      <s:c r="CA36" s="97" t="s">
        <s:v>10</s:v>
      </s:c>
      <s:c r="CB36" s="8" t="s">
        <s:v>11</s:v>
      </s:c>
      <s:c r="CC36" s="98" t="s">
        <s:v>12</s:v>
      </s:c>
      <s:c r="CD36" s="7" t="s">
        <s:v>10</s:v>
      </s:c>
      <s:c r="CE36" s="8" t="s">
        <s:v>11</s:v>
      </s:c>
      <s:c r="CF36" s="94" t="s">
        <s:v>12</s:v>
      </s:c>
      <s:c r="CG36" s="97" t="s">
        <s:v>10</s:v>
      </s:c>
      <s:c r="CH36" s="8" t="s">
        <s:v>11</s:v>
      </s:c>
      <s:c r="CI36" s="98" t="s">
        <s:v>12</s:v>
      </s:c>
      <s:c r="CJ36" s="7" t="s">
        <s:v>10</s:v>
      </s:c>
      <s:c r="CK36" s="8" t="s">
        <s:v>11</s:v>
      </s:c>
      <s:c r="CL36" s="94" t="s">
        <s:v>12</s:v>
      </s:c>
      <s:c r="CM36" s="97" t="s">
        <s:v>10</s:v>
      </s:c>
      <s:c r="CN36" s="8" t="s">
        <s:v>11</s:v>
      </s:c>
      <s:c r="CO36" s="98" t="s">
        <s:v>12</s:v>
      </s:c>
      <s:c r="CP36" s="7" t="s">
        <s:v>10</s:v>
      </s:c>
      <s:c r="CQ36" s="8" t="s">
        <s:v>11</s:v>
      </s:c>
      <s:c r="CR36" s="94" t="s">
        <s:v>12</s:v>
      </s:c>
      <s:c r="CS36" s="92" t="s">
        <s:v>10</s:v>
      </s:c>
      <s:c r="CT36" s="10" t="s">
        <s:v>11</s:v>
      </s:c>
      <s:c r="CU36" s="69" t="s">
        <s:v>12</s:v>
      </s:c>
      <s:c r="CV36" s="173" t="s">
        <s:v>30</s:v>
      </s:c>
      <s:c r="CW36" s="174"/>
      <s:c r="CX36" s="174"/>
      <s:c r="CY36" s="175"/>
    </s:row>
    <s:row r="37" ht="21.75">
      <s:c r="A37" s="45"/>
      <s:c r="B37" s="48" t="s">
        <s:v>13</s:v>
      </s:c>
      <s:c r="C37" s="89"/>
      <s:c r="D37" s="86">
        <s:f>SUM(D4:D35)</s:f>
        <s:v>3</s:v>
      </s:c>
      <s:c r="E37" s="84">
        <s:f>SUM(E4:E35)</s:f>
        <s:v>0</s:v>
      </s:c>
      <s:c r="F37" s="87">
        <s:f>SUM(F4:F35)</s:f>
        <s:v>3</s:v>
      </s:c>
      <s:c r="G37" s="88">
        <s:f>SUM(G4:G35)</s:f>
        <s:v>3</s:v>
      </s:c>
      <s:c r="H37" s="84">
        <s:f>SUM(H4:H35)</s:f>
        <s:v>0</s:v>
      </s:c>
      <s:c r="I37" s="85">
        <s:f>SUM(I4:I35)</s:f>
        <s:v>0</s:v>
      </s:c>
      <s:c r="J37" s="86">
        <s:f>SUM(J4:J35)</s:f>
        <s:v>0</s:v>
      </s:c>
      <s:c r="K37" s="84">
        <s:f>SUM(K4:K35)</s:f>
        <s:v>0</s:v>
      </s:c>
      <s:c r="L37" s="87">
        <s:f>SUM(L4:L35)</s:f>
        <s:v>0</s:v>
      </s:c>
      <s:c r="M37" s="88">
        <s:f>SUM(M4:M35)</s:f>
        <s:v>0</s:v>
      </s:c>
      <s:c r="N37" s="84">
        <s:f>SUM(N4:N35)</s:f>
        <s:v>0</s:v>
      </s:c>
      <s:c r="O37" s="85">
        <s:f>SUM(O4:O35)</s:f>
        <s:v>0</s:v>
      </s:c>
      <s:c r="P37" s="86">
        <s:f>SUM(P4:P35)</s:f>
        <s:v>0</s:v>
      </s:c>
      <s:c r="Q37" s="84">
        <s:f>SUM(Q4:Q35)</s:f>
        <s:v>0</s:v>
      </s:c>
      <s:c r="R37" s="87">
        <s:f>SUM(R4:R35)</s:f>
        <s:v>0</s:v>
      </s:c>
      <s:c r="S37" s="88">
        <s:f>SUM(S4:S35)</s:f>
        <s:v>0</s:v>
      </s:c>
      <s:c r="T37" s="84">
        <s:f>SUM(T4:T35)</s:f>
        <s:v>0</s:v>
      </s:c>
      <s:c r="U37" s="85">
        <s:f>SUM(U4:U35)</s:f>
        <s:v>0</s:v>
      </s:c>
      <s:c r="V37" s="86">
        <s:f>SUM(V4:V35)</s:f>
        <s:v>0</s:v>
      </s:c>
      <s:c r="W37" s="84">
        <s:f>SUM(W4:W35)</s:f>
        <s:v>0</s:v>
      </s:c>
      <s:c r="X37" s="87">
        <s:f>SUM(X4:X35)</s:f>
        <s:v>0</s:v>
      </s:c>
      <s:c r="Y37" s="88">
        <s:f>SUM(Y4:Y35)</s:f>
        <s:v>0</s:v>
      </s:c>
      <s:c r="Z37" s="84">
        <s:f>SUM(Z4:Z35)</s:f>
        <s:v>0</s:v>
      </s:c>
      <s:c r="AA37" s="85">
        <s:f>SUM(AA4:AA35)</s:f>
        <s:v>0</s:v>
      </s:c>
      <s:c r="AB37" s="86">
        <s:f>SUM(AB4:AB35)</s:f>
        <s:v>0</s:v>
      </s:c>
      <s:c r="AC37" s="84">
        <s:f>SUM(AC4:AC35)</s:f>
        <s:v>0</s:v>
      </s:c>
      <s:c r="AD37" s="87">
        <s:f>SUM(AD4:AD35)</s:f>
        <s:v>0</s:v>
      </s:c>
      <s:c r="AE37" s="88">
        <s:f>SUM(AE4:AE35)</s:f>
        <s:v>0</s:v>
      </s:c>
      <s:c r="AF37" s="84">
        <s:f>SUM(AF4:AF35)</s:f>
        <s:v>0</s:v>
      </s:c>
      <s:c r="AG37" s="85">
        <s:f>SUM(AG4:AG35)</s:f>
        <s:v>0</s:v>
      </s:c>
      <s:c r="AH37" s="86">
        <s:f>SUM(AH4:AH35)</s:f>
        <s:v>0</s:v>
      </s:c>
      <s:c r="AI37" s="84">
        <s:f>SUM(AI4:AI35)</s:f>
        <s:v>0</s:v>
      </s:c>
      <s:c r="AJ37" s="87">
        <s:f>SUM(AJ4:AJ35)</s:f>
        <s:v>0</s:v>
      </s:c>
      <s:c r="AK37" s="88">
        <s:f>SUM(AK4:AK35)</s:f>
        <s:v>0</s:v>
      </s:c>
      <s:c r="AL37" s="84">
        <s:f>SUM(AL4:AL35)</s:f>
        <s:v>0</s:v>
      </s:c>
      <s:c r="AM37" s="85">
        <s:f>SUM(AM4:AM35)</s:f>
        <s:v>0</s:v>
      </s:c>
      <s:c r="AN37" s="86">
        <s:f>SUM(AN4:AN35)</s:f>
        <s:v>0</s:v>
      </s:c>
      <s:c r="AO37" s="84">
        <s:f>SUM(AO4:AO35)</s:f>
        <s:v>0</s:v>
      </s:c>
      <s:c r="AP37" s="87">
        <s:f>SUM(AP4:AP35)</s:f>
        <s:v>0</s:v>
      </s:c>
      <s:c r="AQ37" s="88">
        <s:f>SUM(AQ4:AQ35)</s:f>
        <s:v>0</s:v>
      </s:c>
      <s:c r="AR37" s="84">
        <s:f>SUM(AR4:AR35)</s:f>
        <s:v>0</s:v>
      </s:c>
      <s:c r="AS37" s="85">
        <s:f>SUM(AS4:AS35)</s:f>
        <s:v>0</s:v>
      </s:c>
      <s:c r="AT37" s="86">
        <s:f>SUM(AT4:AT35)</s:f>
        <s:v>0</s:v>
      </s:c>
      <s:c r="AU37" s="84">
        <s:f>SUM(AU4:AU35)</s:f>
        <s:v>0</s:v>
      </s:c>
      <s:c r="AV37" s="87">
        <s:f>SUM(AV4:AV35)</s:f>
        <s:v>0</s:v>
      </s:c>
      <s:c r="AW37" s="88">
        <s:f>SUM(AW4:AW35)</s:f>
        <s:v>0</s:v>
      </s:c>
      <s:c r="AX37" s="84">
        <s:f>SUM(AX4:AX35)</s:f>
        <s:v>0</s:v>
      </s:c>
      <s:c r="AY37" s="85">
        <s:f>SUM(AY4:AY35)</s:f>
        <s:v>0</s:v>
      </s:c>
      <s:c r="AZ37" s="86">
        <s:f>SUM(AZ4:AZ35)</s:f>
        <s:v>0</s:v>
      </s:c>
      <s:c r="BA37" s="84">
        <s:f>SUM(BA4:BA35)</s:f>
        <s:v>0</s:v>
      </s:c>
      <s:c r="BB37" s="87">
        <s:f>SUM(BB4:BB35)</s:f>
        <s:v>11</s:v>
      </s:c>
      <s:c r="BC37" s="88">
        <s:f>SUM(BC4:BC35)</s:f>
        <s:v>11</s:v>
      </s:c>
      <s:c r="BD37" s="84">
        <s:f>SUM(BD4:BD35)</s:f>
        <s:v>0</s:v>
      </s:c>
      <s:c r="BE37" s="85">
        <s:f>SUM(BE4:BE35)</s:f>
        <s:v>11</s:v>
      </s:c>
      <s:c r="BF37" s="86">
        <s:f>SUM(BF4:BF35)</s:f>
        <s:v>11</s:v>
      </s:c>
      <s:c r="BG37" s="84">
        <s:f>SUM(BG4:BG35)</s:f>
        <s:v>17</s:v>
      </s:c>
      <s:c r="BH37" s="87">
        <s:f>SUM(BH4:BH35)</s:f>
        <s:v>28</s:v>
      </s:c>
      <s:c r="BI37" s="88">
        <s:f>SUM(BI4:BI35)</s:f>
        <s:v>28</s:v>
      </s:c>
      <s:c r="BJ37" s="84">
        <s:f>SUM(BJ4:BJ35)</s:f>
        <s:v>17</s:v>
      </s:c>
      <s:c r="BK37" s="85">
        <s:f>SUM(BK4:BK35)</s:f>
        <s:v>28</s:v>
      </s:c>
      <s:c r="BL37" s="86">
        <s:f>SUM(BL4:BL35)</s:f>
        <s:v>28</s:v>
      </s:c>
      <s:c r="BM37" s="84">
        <s:f>SUM(BM4:BM35)</s:f>
        <s:v>17</s:v>
      </s:c>
      <s:c r="BN37" s="87">
        <s:f>SUM(BN4:BN35)</s:f>
        <s:v>28</s:v>
      </s:c>
      <s:c r="BO37" s="88">
        <s:f>SUM(BO4:BO35)</s:f>
        <s:v>28</s:v>
      </s:c>
      <s:c r="BP37" s="84">
        <s:f>SUM(BP4:BP35)</s:f>
        <s:v>17</s:v>
      </s:c>
      <s:c r="BQ37" s="85">
        <s:f>SUM(BQ4:BQ35)</s:f>
        <s:v>28</s:v>
      </s:c>
      <s:c r="BR37" s="86">
        <s:f>SUM(BR4:BR35)</s:f>
        <s:v>28</s:v>
      </s:c>
      <s:c r="BS37" s="84">
        <s:f>SUM(BS4:BS35)</s:f>
        <s:v>17</s:v>
      </s:c>
      <s:c r="BT37" s="87">
        <s:f>SUM(BT4:BT35)</s:f>
        <s:v>28</s:v>
      </s:c>
      <s:c r="BU37" s="88">
        <s:f>SUM(BU4:BU35)</s:f>
        <s:v>28</s:v>
      </s:c>
      <s:c r="BV37" s="84">
        <s:f>SUM(BV4:BV35)</s:f>
        <s:v>17</s:v>
      </s:c>
      <s:c r="BW37" s="85">
        <s:f>SUM(BW4:BW35)</s:f>
        <s:v>28</s:v>
      </s:c>
      <s:c r="BX37" s="86">
        <s:f>SUM(BX4:BX35)</s:f>
        <s:v>28</s:v>
      </s:c>
      <s:c r="BY37" s="84">
        <s:f>SUM(BY4:BY35)</s:f>
        <s:v>17</s:v>
      </s:c>
      <s:c r="BZ37" s="87">
        <s:f>SUM(BZ4:BZ35)</s:f>
        <s:v>28</s:v>
      </s:c>
      <s:c r="CA37" s="88">
        <s:f>SUM(CA4:CA35)</s:f>
        <s:v>28</s:v>
      </s:c>
      <s:c r="CB37" s="84">
        <s:f>SUM(CB4:CB35)</s:f>
        <s:v>0</s:v>
      </s:c>
      <s:c r="CC37" s="85">
        <s:f>SUM(CC4:CC35)</s:f>
        <s:v>0</s:v>
      </s:c>
      <s:c r="CD37" s="86">
        <s:f>SUM(CD4:CD35)</s:f>
        <s:v>0</s:v>
      </s:c>
      <s:c r="CE37" s="84">
        <s:f>SUM(CE4:CE35)</s:f>
        <s:v>0</s:v>
      </s:c>
      <s:c r="CF37" s="87">
        <s:f>SUM(CF4:CF35)</s:f>
        <s:v>0</s:v>
      </s:c>
      <s:c r="CG37" s="88">
        <s:f>SUM(CG4:CG35)</s:f>
        <s:v>0</s:v>
      </s:c>
      <s:c r="CH37" s="84">
        <s:f>SUM(CH4:CH35)</s:f>
        <s:v>0</s:v>
      </s:c>
      <s:c r="CI37" s="85">
        <s:f>SUM(CI4:CI35)</s:f>
        <s:v>0</s:v>
      </s:c>
      <s:c r="CJ37" s="86">
        <s:f>SUM(CJ4:CJ35)</s:f>
        <s:v>0</s:v>
      </s:c>
      <s:c r="CK37" s="84">
        <s:f>SUM(CK4:CK35)</s:f>
        <s:v>0</s:v>
      </s:c>
      <s:c r="CL37" s="87">
        <s:f>SUM(CL4:CL35)</s:f>
        <s:v>0</s:v>
      </s:c>
      <s:c r="CM37" s="88">
        <s:f>SUM(CM4:CM35)</s:f>
        <s:v>0</s:v>
      </s:c>
      <s:c r="CN37" s="84">
        <s:f>SUM(CN4:CN35)</s:f>
        <s:v>0</s:v>
      </s:c>
      <s:c r="CO37" s="85">
        <s:f>SUM(CO4:CO35)</s:f>
        <s:v>0</s:v>
      </s:c>
      <s:c r="CP37" s="86">
        <s:f>SUM(CP4:CP35)</s:f>
        <s:v>0</s:v>
      </s:c>
      <s:c r="CQ37" s="84">
        <s:f>SUM(CQ4:CQ35)</s:f>
        <s:v>0</s:v>
      </s:c>
      <s:c r="CR37" s="87">
        <s:f>SUM(CR4:CR35)</s:f>
        <s:v>0</s:v>
      </s:c>
      <s:c r="CS37" s="93">
        <s:f>SUM(CS4:CS35)</s:f>
        <s:v>224</s:v>
      </s:c>
      <s:c r="CT37" s="70">
        <s:f>SUM(CT4:CT35)</s:f>
        <s:v>119</s:v>
      </s:c>
      <s:c r="CU37" s="71">
        <s:f>SUM(CU4:CU35)</s:f>
        <s:v>221</s:v>
      </s:c>
      <s:c r="CV37" s="124">
        <s:f>SUM(CW37:CY37)</s:f>
        <s:v>486050</s:v>
      </s:c>
      <s:c r="CW37" s="110">
        <s:f>SUM(CW4:CW35)</s:f>
        <s:v>170700</s:v>
      </s:c>
      <s:c r="CX37" s="110">
        <s:f>SUM(CX4:CX35)</s:f>
        <s:v>0</s:v>
      </s:c>
      <s:c r="CY37" s="110">
        <s:f>SUM(CY4:CY35)</s:f>
        <s:v>315350</s:v>
      </s:c>
    </s:row>
    <s:row r="38" ht="60">
      <s:c r="B38" s="73" t="s">
        <s:v>31</s:v>
      </s:c>
      <s:c r="D38" s="95">
        <s:f>SUMIFS(D4:D35,$C$4:$C$35,"Да")</s:f>
        <s:v>0</s:v>
      </s:c>
      <s:c r="E38" s="1">
        <s:f>SUMIFS(E4:E35,$C$4:$C$35,"Да")</s:f>
        <s:v>0</s:v>
      </s:c>
      <s:c r="F38" s="96">
        <s:f>SUMIFS(F4:F35,$C$4:$C$35,"Да")</s:f>
        <s:v>0</s:v>
      </s:c>
      <s:c r="G38" s="91">
        <s:f>SUMIFS(G4:G35,$C$4:$C$35,"Да")</s:f>
        <s:v>0</s:v>
      </s:c>
      <s:c r="H38" s="1">
        <s:f>SUMIFS(H4:H35,$C$4:$C$35,"Да")</s:f>
        <s:v>0</s:v>
      </s:c>
      <s:c r="I38" s="90">
        <s:f>SUMIFS(I4:I35,$C$4:$C$35,"Да")</s:f>
        <s:v>0</s:v>
      </s:c>
      <s:c r="J38" s="95">
        <s:f>SUMIFS(J4:J35,$C$4:$C$35,"Да")</s:f>
        <s:v>0</s:v>
      </s:c>
      <s:c r="K38" s="1">
        <s:f>SUMIFS(K4:K35,$C$4:$C$35,"Да")</s:f>
        <s:v>0</s:v>
      </s:c>
      <s:c r="L38" s="96">
        <s:f>SUMIFS(L4:L35,$C$4:$C$35,"Да")</s:f>
        <s:v>0</s:v>
      </s:c>
      <s:c r="M38" s="91">
        <s:f>SUMIFS(M4:M35,$C$4:$C$35,"Да")</s:f>
        <s:v>0</s:v>
      </s:c>
      <s:c r="N38" s="1">
        <s:f>SUMIFS(N4:N35,$C$4:$C$35,"Да")</s:f>
        <s:v>0</s:v>
      </s:c>
      <s:c r="O38" s="90">
        <s:f>SUMIFS(O4:O35,$C$4:$C$35,"Да")</s:f>
        <s:v>0</s:v>
      </s:c>
      <s:c r="P38" s="95">
        <s:f>SUMIFS(P4:P35,$C$4:$C$35,"Да")</s:f>
        <s:v>0</s:v>
      </s:c>
      <s:c r="Q38" s="1">
        <s:f>SUMIFS(Q4:Q35,$C$4:$C$35,"Да")</s:f>
        <s:v>0</s:v>
      </s:c>
      <s:c r="R38" s="96">
        <s:f>SUMIFS(R4:R35,$C$4:$C$35,"Да")</s:f>
        <s:v>0</s:v>
      </s:c>
      <s:c r="S38" s="91">
        <s:f>SUMIFS(S4:S35,$C$4:$C$35,"Да")</s:f>
        <s:v>0</s:v>
      </s:c>
      <s:c r="T38" s="1">
        <s:f>SUMIFS(T4:T35,$C$4:$C$35,"Да")</s:f>
        <s:v>0</s:v>
      </s:c>
      <s:c r="U38" s="90">
        <s:f>SUMIFS(U4:U35,$C$4:$C$35,"Да")</s:f>
        <s:v>0</s:v>
      </s:c>
      <s:c r="V38" s="95">
        <s:f>SUMIFS(V4:V35,$C$4:$C$35,"Да")</s:f>
        <s:v>0</s:v>
      </s:c>
      <s:c r="W38" s="1">
        <s:f>SUMIFS(W4:W35,$C$4:$C$35,"Да")</s:f>
        <s:v>0</s:v>
      </s:c>
      <s:c r="X38" s="96">
        <s:f>SUMIFS(X4:X35,$C$4:$C$35,"Да")</s:f>
        <s:v>0</s:v>
      </s:c>
      <s:c r="Y38" s="91">
        <s:f>SUMIFS(Y4:Y35,$C$4:$C$35,"Да")</s:f>
        <s:v>0</s:v>
      </s:c>
      <s:c r="Z38" s="1">
        <s:f>SUMIFS(Z4:Z35,$C$4:$C$35,"Да")</s:f>
        <s:v>0</s:v>
      </s:c>
      <s:c r="AA38" s="90">
        <s:f>SUMIFS(AA4:AA35,$C$4:$C$35,"Да")</s:f>
        <s:v>0</s:v>
      </s:c>
      <s:c r="AB38" s="95">
        <s:f>SUMIFS(AB4:AB35,$C$4:$C$35,"Да")</s:f>
        <s:v>0</s:v>
      </s:c>
      <s:c r="AC38" s="1">
        <s:f>SUMIFS(AC4:AC35,$C$4:$C$35,"Да")</s:f>
        <s:v>0</s:v>
      </s:c>
      <s:c r="AD38" s="96">
        <s:f>SUMIFS(AD4:AD35,$C$4:$C$35,"Да")</s:f>
        <s:v>0</s:v>
      </s:c>
      <s:c r="AE38" s="91">
        <s:f>SUMIFS(AE4:AE35,$C$4:$C$35,"Да")</s:f>
        <s:v>0</s:v>
      </s:c>
      <s:c r="AF38" s="1">
        <s:f>SUMIFS(AF4:AF35,$C$4:$C$35,"Да")</s:f>
        <s:v>0</s:v>
      </s:c>
      <s:c r="AG38" s="90">
        <s:f>SUMIFS(AG4:AG35,$C$4:$C$35,"Да")</s:f>
        <s:v>0</s:v>
      </s:c>
      <s:c r="AH38" s="95">
        <s:f>SUMIFS(AH4:AH35,$C$4:$C$35,"Да")</s:f>
        <s:v>0</s:v>
      </s:c>
      <s:c r="AI38" s="1">
        <s:f>SUMIFS(AI4:AI35,$C$4:$C$35,"Да")</s:f>
        <s:v>0</s:v>
      </s:c>
      <s:c r="AJ38" s="96">
        <s:f>SUMIFS(AJ4:AJ35,$C$4:$C$35,"Да")</s:f>
        <s:v>0</s:v>
      </s:c>
      <s:c r="AK38" s="91">
        <s:f>SUMIFS(AK4:AK35,$C$4:$C$35,"Да")</s:f>
        <s:v>0</s:v>
      </s:c>
      <s:c r="AL38" s="1">
        <s:f>SUMIFS(AL4:AL35,$C$4:$C$35,"Да")</s:f>
        <s:v>0</s:v>
      </s:c>
      <s:c r="AM38" s="90">
        <s:f>SUMIFS(AM4:AM35,$C$4:$C$35,"Да")</s:f>
        <s:v>0</s:v>
      </s:c>
      <s:c r="AN38" s="95">
        <s:f>SUMIFS(AN4:AN35,$C$4:$C$35,"Да")</s:f>
        <s:v>0</s:v>
      </s:c>
      <s:c r="AO38" s="1">
        <s:f>SUMIFS(AO4:AO35,$C$4:$C$35,"Да")</s:f>
        <s:v>0</s:v>
      </s:c>
      <s:c r="AP38" s="96">
        <s:f>SUMIFS(AP4:AP35,$C$4:$C$35,"Да")</s:f>
        <s:v>0</s:v>
      </s:c>
      <s:c r="AQ38" s="91">
        <s:f>SUMIFS(AQ4:AQ35,$C$4:$C$35,"Да")</s:f>
        <s:v>0</s:v>
      </s:c>
      <s:c r="AR38" s="1">
        <s:f>SUMIFS(AR4:AR35,$C$4:$C$35,"Да")</s:f>
        <s:v>0</s:v>
      </s:c>
      <s:c r="AS38" s="90">
        <s:f>SUMIFS(AS4:AS35,$C$4:$C$35,"Да")</s:f>
        <s:v>0</s:v>
      </s:c>
      <s:c r="AT38" s="95">
        <s:f>SUMIFS(AT4:AT35,$C$4:$C$35,"Да")</s:f>
        <s:v>0</s:v>
      </s:c>
      <s:c r="AU38" s="1">
        <s:f>SUMIFS(AU4:AU35,$C$4:$C$35,"Да")</s:f>
        <s:v>0</s:v>
      </s:c>
      <s:c r="AV38" s="96">
        <s:f>SUMIFS(AV4:AV35,$C$4:$C$35,"Да")</s:f>
        <s:v>0</s:v>
      </s:c>
      <s:c r="AW38" s="91">
        <s:f>SUMIFS(AW4:AW35,$C$4:$C$35,"Да")</s:f>
        <s:v>0</s:v>
      </s:c>
      <s:c r="AX38" s="1">
        <s:f>SUMIFS(AX4:AX35,$C$4:$C$35,"Да")</s:f>
        <s:v>0</s:v>
      </s:c>
      <s:c r="AY38" s="90">
        <s:f>SUMIFS(AY4:AY35,$C$4:$C$35,"Да")</s:f>
        <s:v>0</s:v>
      </s:c>
      <s:c r="AZ38" s="95">
        <s:f>SUMIFS(AZ4:AZ35,$C$4:$C$35,"Да")</s:f>
        <s:v>0</s:v>
      </s:c>
      <s:c r="BA38" s="1">
        <s:f>SUMIFS(BA4:BA35,$C$4:$C$35,"Да")</s:f>
        <s:v>0</s:v>
      </s:c>
      <s:c r="BB38" s="96">
        <s:f>SUMIFS(BB4:BB35,$C$4:$C$35,"Да")</s:f>
        <s:v>0</s:v>
      </s:c>
      <s:c r="BC38" s="91">
        <s:f>SUMIFS(BC4:BC35,$C$4:$C$35,"Да")</s:f>
        <s:v>0</s:v>
      </s:c>
      <s:c r="BD38" s="1">
        <s:f>SUMIFS(BD4:BD35,$C$4:$C$35,"Да")</s:f>
        <s:v>0</s:v>
      </s:c>
      <s:c r="BE38" s="90">
        <s:f>SUMIFS(BE4:BE35,$C$4:$C$35,"Да")</s:f>
        <s:v>0</s:v>
      </s:c>
      <s:c r="BF38" s="95">
        <s:f>SUMIFS(BF4:BF35,$C$4:$C$35,"Да")</s:f>
        <s:v>0</s:v>
      </s:c>
      <s:c r="BG38" s="1">
        <s:f>SUMIFS(BG4:BG35,$C$4:$C$35,"Да")</s:f>
        <s:v>0</s:v>
      </s:c>
      <s:c r="BH38" s="96">
        <s:f>SUMIFS(BH4:BH35,$C$4:$C$35,"Да")</s:f>
        <s:v>0</s:v>
      </s:c>
      <s:c r="BI38" s="91">
        <s:f>SUMIFS(BI4:BI35,$C$4:$C$35,"Да")</s:f>
        <s:v>0</s:v>
      </s:c>
      <s:c r="BJ38" s="1">
        <s:f>SUMIFS(BJ4:BJ35,$C$4:$C$35,"Да")</s:f>
        <s:v>0</s:v>
      </s:c>
      <s:c r="BK38" s="90">
        <s:f>SUMIFS(BK4:BK35,$C$4:$C$35,"Да")</s:f>
        <s:v>0</s:v>
      </s:c>
      <s:c r="BL38" s="95">
        <s:f>SUMIFS(BL4:BL35,$C$4:$C$35,"Да")</s:f>
        <s:v>0</s:v>
      </s:c>
      <s:c r="BM38" s="1">
        <s:f>SUMIFS(BM4:BM35,$C$4:$C$35,"Да")</s:f>
        <s:v>0</s:v>
      </s:c>
      <s:c r="BN38" s="96">
        <s:f>SUMIFS(BN4:BN35,$C$4:$C$35,"Да")</s:f>
        <s:v>0</s:v>
      </s:c>
      <s:c r="BO38" s="91">
        <s:f>SUMIFS(BO4:BO35,$C$4:$C$35,"Да")</s:f>
        <s:v>0</s:v>
      </s:c>
      <s:c r="BP38" s="1">
        <s:f>SUMIFS(BP4:BP35,$C$4:$C$35,"Да")</s:f>
        <s:v>0</s:v>
      </s:c>
      <s:c r="BQ38" s="90">
        <s:f>SUMIFS(BQ4:BQ35,$C$4:$C$35,"Да")</s:f>
        <s:v>0</s:v>
      </s:c>
      <s:c r="BR38" s="95">
        <s:f>SUMIFS(BR4:BR35,$C$4:$C$35,"Да")</s:f>
        <s:v>0</s:v>
      </s:c>
      <s:c r="BS38" s="1">
        <s:f>SUMIFS(BS4:BS35,$C$4:$C$35,"Да")</s:f>
        <s:v>0</s:v>
      </s:c>
      <s:c r="BT38" s="96">
        <s:f>SUMIFS(BT4:BT35,$C$4:$C$35,"Да")</s:f>
        <s:v>0</s:v>
      </s:c>
      <s:c r="BU38" s="91">
        <s:f>SUMIFS(BU4:BU35,$C$4:$C$35,"Да")</s:f>
        <s:v>0</s:v>
      </s:c>
      <s:c r="BV38" s="1">
        <s:f>SUMIFS(BV4:BV35,$C$4:$C$35,"Да")</s:f>
        <s:v>0</s:v>
      </s:c>
      <s:c r="BW38" s="90">
        <s:f>SUMIFS(BW4:BW35,$C$4:$C$35,"Да")</s:f>
        <s:v>0</s:v>
      </s:c>
      <s:c r="BX38" s="95">
        <s:f>SUMIFS(BX4:BX35,$C$4:$C$35,"Да")</s:f>
        <s:v>0</s:v>
      </s:c>
      <s:c r="BY38" s="1">
        <s:f>SUMIFS(BY4:BY35,$C$4:$C$35,"Да")</s:f>
        <s:v>0</s:v>
      </s:c>
      <s:c r="BZ38" s="96">
        <s:f>SUMIFS(BZ4:BZ35,$C$4:$C$35,"Да")</s:f>
        <s:v>0</s:v>
      </s:c>
      <s:c r="CA38" s="91">
        <s:f>SUMIFS(CA4:CA35,$C$4:$C$35,"Да")</s:f>
        <s:v>0</s:v>
      </s:c>
      <s:c r="CB38" s="1">
        <s:f>SUMIFS(CB4:CB35,$C$4:$C$35,"Да")</s:f>
        <s:v>0</s:v>
      </s:c>
      <s:c r="CC38" s="90">
        <s:f>SUMIFS(CC4:CC35,$C$4:$C$35,"Да")</s:f>
        <s:v>0</s:v>
      </s:c>
      <s:c r="CD38" s="95">
        <s:f>SUMIFS(CD4:CD35,$C$4:$C$35,"Да")</s:f>
        <s:v>0</s:v>
      </s:c>
      <s:c r="CE38" s="1">
        <s:f>SUMIFS(CE4:CE35,$C$4:$C$35,"Да")</s:f>
        <s:v>0</s:v>
      </s:c>
      <s:c r="CF38" s="96">
        <s:f>SUMIFS(CF4:CF35,$C$4:$C$35,"Да")</s:f>
        <s:v>0</s:v>
      </s:c>
      <s:c r="CG38" s="91">
        <s:f>SUMIFS(CG4:CG35,$C$4:$C$35,"Да")</s:f>
        <s:v>0</s:v>
      </s:c>
      <s:c r="CH38" s="1">
        <s:f>SUMIFS(CH4:CH35,$C$4:$C$35,"Да")</s:f>
        <s:v>0</s:v>
      </s:c>
      <s:c r="CI38" s="90">
        <s:f>SUMIFS(CI4:CI35,$C$4:$C$35,"Да")</s:f>
        <s:v>0</s:v>
      </s:c>
      <s:c r="CJ38" s="95">
        <s:f>SUMIFS(CJ4:CJ35,$C$4:$C$35,"Да")</s:f>
        <s:v>0</s:v>
      </s:c>
      <s:c r="CK38" s="1">
        <s:f>SUMIFS(CK4:CK35,$C$4:$C$35,"Да")</s:f>
        <s:v>0</s:v>
      </s:c>
      <s:c r="CL38" s="96">
        <s:f>SUMIFS(CL4:CL35,$C$4:$C$35,"Да")</s:f>
        <s:v>0</s:v>
      </s:c>
      <s:c r="CM38" s="91">
        <s:f>SUMIFS(CM4:CM35,$C$4:$C$35,"Да")</s:f>
        <s:v>0</s:v>
      </s:c>
      <s:c r="CN38" s="1">
        <s:f>SUMIFS(CN4:CN35,$C$4:$C$35,"Да")</s:f>
        <s:v>0</s:v>
      </s:c>
      <s:c r="CO38" s="90">
        <s:f>SUMIFS(CO4:CO35,$C$4:$C$35,"Да")</s:f>
        <s:v>0</s:v>
      </s:c>
      <s:c r="CP38" s="95">
        <s:f>SUMIFS(CP4:CP35,$C$4:$C$35,"Да")</s:f>
        <s:v>0</s:v>
      </s:c>
      <s:c r="CQ38" s="1">
        <s:f>SUMIFS(CQ4:CQ35,$C$4:$C$35,"Да")</s:f>
        <s:v>0</s:v>
      </s:c>
      <s:c r="CR38" s="96">
        <s:f>SUMIFS(CR4:CR35,$C$4:$C$35,"Да")</s:f>
        <s:v>0</s:v>
      </s:c>
      <s:c r="CS38" s="83" t="s">
        <s:v>23</s:v>
      </s:c>
      <s:c r="CT38" s="72" t="s">
        <s:v>24</s:v>
      </s:c>
      <s:c r="CU38" s="72" t="s">
        <s:v>25</s:v>
      </s:c>
      <s:c r="CV38" s="109" t="s">
        <s:v>39</s:v>
      </s:c>
      <s:c r="CW38" s="111" t="s">
        <s:v>40</s:v>
      </s:c>
      <s:c r="CX38" s="111" t="s">
        <s:v>26</s:v>
      </s:c>
      <s:c r="CY38" s="111" t="s">
        <s:v>29</s:v>
      </s:c>
      <s:c r="DB38" s="128">
        <s:f>CW42-CW37</s:f>
        <s:v>0</s:v>
      </s:c>
      <s:c r="DC38" s="128">
        <s:f>CY43-CY37</s:f>
        <s:v>0</s:v>
      </s:c>
    </s:row>
    <s:row r="39" ht="24.75">
      <s:c r="B39" s="73" t="s">
        <s:v>32</s:v>
      </s:c>
      <s:c r="D39" s="95">
        <s:f>SUMIFS(D4:D35,$C$4:$C$35,"Нет")</s:f>
        <s:v>3</s:v>
      </s:c>
      <s:c r="E39" s="1">
        <s:f>SUMIFS(E4:E35,$C$4:$C$35,"Нет")</s:f>
        <s:v>0</s:v>
      </s:c>
      <s:c r="F39" s="96">
        <s:f>SUMIFS(F4:F35,$C$4:$C$35,"Нет")</s:f>
        <s:v>3</s:v>
      </s:c>
      <s:c r="G39" s="91">
        <s:f>SUMIFS(G4:G35,$C$4:$C$35,"Нет")</s:f>
        <s:v>3</s:v>
      </s:c>
      <s:c r="H39" s="1">
        <s:f>SUMIFS(H4:H35,$C$4:$C$35,"Нет")</s:f>
        <s:v>0</s:v>
      </s:c>
      <s:c r="I39" s="90">
        <s:f>SUMIFS(I4:I35,$C$4:$C$35,"Нет")</s:f>
        <s:v>0</s:v>
      </s:c>
      <s:c r="J39" s="95">
        <s:f>SUMIFS(J4:J35,$C$4:$C$35,"Нет")</s:f>
        <s:v>0</s:v>
      </s:c>
      <s:c r="K39" s="1">
        <s:f>SUMIFS(K4:K35,$C$4:$C$35,"Нет")</s:f>
        <s:v>0</s:v>
      </s:c>
      <s:c r="L39" s="96">
        <s:f>SUMIFS(L4:L35,$C$4:$C$35,"Нет")</s:f>
        <s:v>0</s:v>
      </s:c>
      <s:c r="M39" s="91">
        <s:f>SUMIFS(M4:M35,$C$4:$C$35,"Нет")</s:f>
        <s:v>0</s:v>
      </s:c>
      <s:c r="N39" s="1">
        <s:f>SUMIFS(N4:N35,$C$4:$C$35,"Нет")</s:f>
        <s:v>0</s:v>
      </s:c>
      <s:c r="O39" s="90">
        <s:f>SUMIFS(O4:O35,$C$4:$C$35,"Нет")</s:f>
        <s:v>0</s:v>
      </s:c>
      <s:c r="P39" s="95">
        <s:f>SUMIFS(P4:P35,$C$4:$C$35,"Нет")</s:f>
        <s:v>0</s:v>
      </s:c>
      <s:c r="Q39" s="1">
        <s:f>SUMIFS(Q4:Q35,$C$4:$C$35,"Нет")</s:f>
        <s:v>0</s:v>
      </s:c>
      <s:c r="R39" s="96">
        <s:f>SUMIFS(R4:R35,$C$4:$C$35,"Нет")</s:f>
        <s:v>0</s:v>
      </s:c>
      <s:c r="S39" s="91">
        <s:f>SUMIFS(S4:S35,$C$4:$C$35,"Нет")</s:f>
        <s:v>0</s:v>
      </s:c>
      <s:c r="T39" s="1">
        <s:f>SUMIFS(T4:T35,$C$4:$C$35,"Нет")</s:f>
        <s:v>0</s:v>
      </s:c>
      <s:c r="U39" s="90">
        <s:f>SUMIFS(U4:U35,$C$4:$C$35,"Нет")</s:f>
        <s:v>0</s:v>
      </s:c>
      <s:c r="V39" s="95">
        <s:f>SUMIFS(V4:V35,$C$4:$C$35,"Нет")</s:f>
        <s:v>0</s:v>
      </s:c>
      <s:c r="W39" s="1">
        <s:f>SUMIFS(W4:W35,$C$4:$C$35,"Нет")</s:f>
        <s:v>0</s:v>
      </s:c>
      <s:c r="X39" s="96">
        <s:f>SUMIFS(X4:X35,$C$4:$C$35,"Нет")</s:f>
        <s:v>0</s:v>
      </s:c>
      <s:c r="Y39" s="91">
        <s:f>SUMIFS(Y4:Y35,$C$4:$C$35,"Нет")</s:f>
        <s:v>0</s:v>
      </s:c>
      <s:c r="Z39" s="1">
        <s:f>SUMIFS(Z4:Z35,$C$4:$C$35,"Нет")</s:f>
        <s:v>0</s:v>
      </s:c>
      <s:c r="AA39" s="90">
        <s:f>SUMIFS(AA4:AA35,$C$4:$C$35,"Нет")</s:f>
        <s:v>0</s:v>
      </s:c>
      <s:c r="AB39" s="95">
        <s:f>SUMIFS(AB4:AB35,$C$4:$C$35,"Нет")</s:f>
        <s:v>0</s:v>
      </s:c>
      <s:c r="AC39" s="1">
        <s:f>SUMIFS(AC4:AC35,$C$4:$C$35,"Нет")</s:f>
        <s:v>0</s:v>
      </s:c>
      <s:c r="AD39" s="96">
        <s:f>SUMIFS(AD4:AD35,$C$4:$C$35,"Нет")</s:f>
        <s:v>0</s:v>
      </s:c>
      <s:c r="AE39" s="91">
        <s:f>SUMIFS(AE4:AE35,$C$4:$C$35,"Нет")</s:f>
        <s:v>0</s:v>
      </s:c>
      <s:c r="AF39" s="1">
        <s:f>SUMIFS(AF4:AF35,$C$4:$C$35,"Нет")</s:f>
        <s:v>0</s:v>
      </s:c>
      <s:c r="AG39" s="90">
        <s:f>SUMIFS(AG4:AG35,$C$4:$C$35,"Нет")</s:f>
        <s:v>0</s:v>
      </s:c>
      <s:c r="AH39" s="95">
        <s:f>SUMIFS(AH4:AH35,$C$4:$C$35,"Нет")</s:f>
        <s:v>0</s:v>
      </s:c>
      <s:c r="AI39" s="1">
        <s:f>SUMIFS(AI4:AI35,$C$4:$C$35,"Нет")</s:f>
        <s:v>0</s:v>
      </s:c>
      <s:c r="AJ39" s="96">
        <s:f>SUMIFS(AJ4:AJ35,$C$4:$C$35,"Нет")</s:f>
        <s:v>0</s:v>
      </s:c>
      <s:c r="AK39" s="91">
        <s:f>SUMIFS(AK4:AK35,$C$4:$C$35,"Нет")</s:f>
        <s:v>0</s:v>
      </s:c>
      <s:c r="AL39" s="1">
        <s:f>SUMIFS(AL4:AL35,$C$4:$C$35,"Нет")</s:f>
        <s:v>0</s:v>
      </s:c>
      <s:c r="AM39" s="90">
        <s:f>SUMIFS(AM4:AM35,$C$4:$C$35,"Нет")</s:f>
        <s:v>0</s:v>
      </s:c>
      <s:c r="AN39" s="95">
        <s:f>SUMIFS(AN4:AN35,$C$4:$C$35,"Нет")</s:f>
        <s:v>0</s:v>
      </s:c>
      <s:c r="AO39" s="1">
        <s:f>SUMIFS(AO4:AO35,$C$4:$C$35,"Нет")</s:f>
        <s:v>0</s:v>
      </s:c>
      <s:c r="AP39" s="96">
        <s:f>SUMIFS(AP4:AP35,$C$4:$C$35,"Нет")</s:f>
        <s:v>0</s:v>
      </s:c>
      <s:c r="AQ39" s="91">
        <s:f>SUMIFS(AQ4:AQ35,$C$4:$C$35,"Нет")</s:f>
        <s:v>0</s:v>
      </s:c>
      <s:c r="AR39" s="1">
        <s:f>SUMIFS(AR4:AR35,$C$4:$C$35,"Нет")</s:f>
        <s:v>0</s:v>
      </s:c>
      <s:c r="AS39" s="90">
        <s:f>SUMIFS(AS4:AS35,$C$4:$C$35,"Нет")</s:f>
        <s:v>0</s:v>
      </s:c>
      <s:c r="AT39" s="95">
        <s:f>SUMIFS(AT4:AT35,$C$4:$C$35,"Нет")</s:f>
        <s:v>0</s:v>
      </s:c>
      <s:c r="AU39" s="1">
        <s:f>SUMIFS(AU4:AU35,$C$4:$C$35,"Нет")</s:f>
        <s:v>0</s:v>
      </s:c>
      <s:c r="AV39" s="96">
        <s:f>SUMIFS(AV4:AV35,$C$4:$C$35,"Нет")</s:f>
        <s:v>0</s:v>
      </s:c>
      <s:c r="AW39" s="91">
        <s:f>SUMIFS(AW4:AW35,$C$4:$C$35,"Нет")</s:f>
        <s:v>0</s:v>
      </s:c>
      <s:c r="AX39" s="1">
        <s:f>SUMIFS(AX4:AX35,$C$4:$C$35,"Нет")</s:f>
        <s:v>0</s:v>
      </s:c>
      <s:c r="AY39" s="90">
        <s:f>SUMIFS(AY4:AY35,$C$4:$C$35,"Нет")</s:f>
        <s:v>0</s:v>
      </s:c>
      <s:c r="AZ39" s="95">
        <s:f>SUMIFS(AZ4:AZ35,$C$4:$C$35,"Нет")</s:f>
        <s:v>0</s:v>
      </s:c>
      <s:c r="BA39" s="1">
        <s:f>SUMIFS(BA4:BA35,$C$4:$C$35,"Нет")</s:f>
        <s:v>0</s:v>
      </s:c>
      <s:c r="BB39" s="96">
        <s:f>SUMIFS(BB4:BB35,$C$4:$C$35,"Нет")</s:f>
        <s:v>11</s:v>
      </s:c>
      <s:c r="BC39" s="91">
        <s:f>SUMIFS(BC4:BC35,$C$4:$C$35,"Нет")</s:f>
        <s:v>11</s:v>
      </s:c>
      <s:c r="BD39" s="1">
        <s:f>SUMIFS(BD4:BD35,$C$4:$C$35,"Нет")</s:f>
        <s:v>0</s:v>
      </s:c>
      <s:c r="BE39" s="90">
        <s:f>SUMIFS(BE4:BE35,$C$4:$C$35,"Нет")</s:f>
        <s:v>11</s:v>
      </s:c>
      <s:c r="BF39" s="95">
        <s:f>SUMIFS(BF4:BF35,$C$4:$C$35,"Нет")</s:f>
        <s:v>11</s:v>
      </s:c>
      <s:c r="BG39" s="1">
        <s:f>SUMIFS(BG4:BG35,$C$4:$C$35,"Нет")</s:f>
        <s:v>0</s:v>
      </s:c>
      <s:c r="BH39" s="96">
        <s:f>SUMIFS(BH4:BH35,$C$4:$C$35,"Нет")</s:f>
        <s:v>11</s:v>
      </s:c>
      <s:c r="BI39" s="91">
        <s:f>SUMIFS(BI4:BI35,$C$4:$C$35,"Нет")</s:f>
        <s:v>11</s:v>
      </s:c>
      <s:c r="BJ39" s="1">
        <s:f>SUMIFS(BJ4:BJ35,$C$4:$C$35,"Нет")</s:f>
        <s:v>0</s:v>
      </s:c>
      <s:c r="BK39" s="90">
        <s:f>SUMIFS(BK4:BK35,$C$4:$C$35,"Нет")</s:f>
        <s:v>11</s:v>
      </s:c>
      <s:c r="BL39" s="95">
        <s:f>SUMIFS(BL4:BL35,$C$4:$C$35,"Нет")</s:f>
        <s:v>11</s:v>
      </s:c>
      <s:c r="BM39" s="1">
        <s:f>SUMIFS(BM4:BM35,$C$4:$C$35,"Нет")</s:f>
        <s:v>0</s:v>
      </s:c>
      <s:c r="BN39" s="96">
        <s:f>SUMIFS(BN4:BN35,$C$4:$C$35,"Нет")</s:f>
        <s:v>11</s:v>
      </s:c>
      <s:c r="BO39" s="91">
        <s:f>SUMIFS(BO4:BO35,$C$4:$C$35,"Нет")</s:f>
        <s:v>11</s:v>
      </s:c>
      <s:c r="BP39" s="1">
        <s:f>SUMIFS(BP4:BP35,$C$4:$C$35,"Нет")</s:f>
        <s:v>0</s:v>
      </s:c>
      <s:c r="BQ39" s="90">
        <s:f>SUMIFS(BQ4:BQ35,$C$4:$C$35,"Нет")</s:f>
        <s:v>11</s:v>
      </s:c>
      <s:c r="BR39" s="95">
        <s:f>SUMIFS(BR4:BR35,$C$4:$C$35,"Нет")</s:f>
        <s:v>11</s:v>
      </s:c>
      <s:c r="BS39" s="1">
        <s:f>SUMIFS(BS4:BS35,$C$4:$C$35,"Нет")</s:f>
        <s:v>0</s:v>
      </s:c>
      <s:c r="BT39" s="96">
        <s:f>SUMIFS(BT4:BT35,$C$4:$C$35,"Нет")</s:f>
        <s:v>11</s:v>
      </s:c>
      <s:c r="BU39" s="91">
        <s:f>SUMIFS(BU4:BU35,$C$4:$C$35,"Нет")</s:f>
        <s:v>11</s:v>
      </s:c>
      <s:c r="BV39" s="1">
        <s:f>SUMIFS(BV4:BV35,$C$4:$C$35,"Нет")</s:f>
        <s:v>0</s:v>
      </s:c>
      <s:c r="BW39" s="90">
        <s:f>SUMIFS(BW4:BW35,$C$4:$C$35,"Нет")</s:f>
        <s:v>11</s:v>
      </s:c>
      <s:c r="BX39" s="95">
        <s:f>SUMIFS(BX4:BX35,$C$4:$C$35,"Нет")</s:f>
        <s:v>11</s:v>
      </s:c>
      <s:c r="BY39" s="1">
        <s:f>SUMIFS(BY4:BY35,$C$4:$C$35,"Нет")</s:f>
        <s:v>0</s:v>
      </s:c>
      <s:c r="BZ39" s="96">
        <s:f>SUMIFS(BZ4:BZ35,$C$4:$C$35,"Нет")</s:f>
        <s:v>11</s:v>
      </s:c>
      <s:c r="CA39" s="91">
        <s:f>SUMIFS(CA4:CA35,$C$4:$C$35,"Нет")</s:f>
        <s:v>11</s:v>
      </s:c>
      <s:c r="CB39" s="1">
        <s:f>SUMIFS(CB4:CB35,$C$4:$C$35,"Нет")</s:f>
        <s:v>0</s:v>
      </s:c>
      <s:c r="CC39" s="90">
        <s:f>SUMIFS(CC4:CC35,$C$4:$C$35,"Нет")</s:f>
        <s:v>0</s:v>
      </s:c>
      <s:c r="CD39" s="95">
        <s:f>SUMIFS(CD4:CD35,$C$4:$C$35,"Нет")</s:f>
        <s:v>0</s:v>
      </s:c>
      <s:c r="CE39" s="1">
        <s:f>SUMIFS(CE4:CE35,$C$4:$C$35,"Нет")</s:f>
        <s:v>0</s:v>
      </s:c>
      <s:c r="CF39" s="96">
        <s:f>SUMIFS(CF4:CF35,$C$4:$C$35,"Нет")</s:f>
        <s:v>0</s:v>
      </s:c>
      <s:c r="CG39" s="91">
        <s:f>SUMIFS(CG4:CG35,$C$4:$C$35,"Нет")</s:f>
        <s:v>0</s:v>
      </s:c>
      <s:c r="CH39" s="1">
        <s:f>SUMIFS(CH4:CH35,$C$4:$C$35,"Нет")</s:f>
        <s:v>0</s:v>
      </s:c>
      <s:c r="CI39" s="90">
        <s:f>SUMIFS(CI4:CI35,$C$4:$C$35,"Нет")</s:f>
        <s:v>0</s:v>
      </s:c>
      <s:c r="CJ39" s="95">
        <s:f>SUMIFS(CJ4:CJ35,$C$4:$C$35,"Нет")</s:f>
        <s:v>0</s:v>
      </s:c>
      <s:c r="CK39" s="1">
        <s:f>SUMIFS(CK4:CK35,$C$4:$C$35,"Нет")</s:f>
        <s:v>0</s:v>
      </s:c>
      <s:c r="CL39" s="96">
        <s:f>SUMIFS(CL4:CL35,$C$4:$C$35,"Нет")</s:f>
        <s:v>0</s:v>
      </s:c>
      <s:c r="CM39" s="91">
        <s:f>SUMIFS(CM4:CM35,$C$4:$C$35,"Нет")</s:f>
        <s:v>0</s:v>
      </s:c>
      <s:c r="CN39" s="1">
        <s:f>SUMIFS(CN4:CN35,$C$4:$C$35,"Нет")</s:f>
        <s:v>0</s:v>
      </s:c>
      <s:c r="CO39" s="90">
        <s:f>SUMIFS(CO4:CO35,$C$4:$C$35,"Нет")</s:f>
        <s:v>0</s:v>
      </s:c>
      <s:c r="CP39" s="95">
        <s:f>SUMIFS(CP4:CP35,$C$4:$C$35,"Нет")</s:f>
        <s:v>0</s:v>
      </s:c>
      <s:c r="CQ39" s="1">
        <s:f>SUMIFS(CQ4:CQ35,$C$4:$C$35,"Нет")</s:f>
        <s:v>0</s:v>
      </s:c>
      <s:c r="CR39" s="96">
        <s:f>SUMIFS(CR4:CR35,$C$4:$C$35,"Нет")</s:f>
        <s:v>0</s:v>
      </s:c>
      <s:c r="CW39" s="114"/>
      <s:c r="CX39" s="114"/>
      <s:c r="CY39" s="112"/>
    </s:row>
    <s:row r="40" ht="24.75">
      <s:c r="B40" s="73" t="s">
        <s:v>33</s:v>
      </s:c>
      <s:c r="D40" s="99">
        <s:f>SUMIFS(D4:D35,$C$4:$C$35,"Налич")</s:f>
        <s:v>0</s:v>
      </s:c>
      <s:c r="E40" s="100">
        <s:f>SUMIFS(E4:E35,$C$4:$C$35,"Налич")</s:f>
        <s:v>0</s:v>
      </s:c>
      <s:c r="F40" s="101">
        <s:f>SUMIFS(F4:F35,$C$4:$C$35,"Налич")</s:f>
        <s:v>0</s:v>
      </s:c>
      <s:c r="G40" s="102">
        <s:f>SUMIFS(G4:G35,$C$4:$C$35,"Налич")</s:f>
        <s:v>0</s:v>
      </s:c>
      <s:c r="H40" s="100">
        <s:f>SUMIFS(H4:H35,$C$4:$C$35,"Налич")</s:f>
        <s:v>0</s:v>
      </s:c>
      <s:c r="I40" s="103">
        <s:f>SUMIFS(I4:I35,$C$4:$C$35,"Налич")</s:f>
        <s:v>0</s:v>
      </s:c>
      <s:c r="J40" s="99">
        <s:f>SUMIFS(J4:J35,$C$4:$C$35,"Налич")</s:f>
        <s:v>0</s:v>
      </s:c>
      <s:c r="K40" s="100">
        <s:f>SUMIFS(K4:K35,$C$4:$C$35,"Налич")</s:f>
        <s:v>0</s:v>
      </s:c>
      <s:c r="L40" s="101">
        <s:f>SUMIFS(L4:L35,$C$4:$C$35,"Налич")</s:f>
        <s:v>0</s:v>
      </s:c>
      <s:c r="M40" s="102">
        <s:f>SUMIFS(M4:M35,$C$4:$C$35,"Налич")</s:f>
        <s:v>0</s:v>
      </s:c>
      <s:c r="N40" s="100">
        <s:f>SUMIFS(N4:N35,$C$4:$C$35,"Налич")</s:f>
        <s:v>0</s:v>
      </s:c>
      <s:c r="O40" s="103">
        <s:f>SUMIFS(O4:O35,$C$4:$C$35,"Налич")</s:f>
        <s:v>0</s:v>
      </s:c>
      <s:c r="P40" s="99">
        <s:f>SUMIFS(P4:P35,$C$4:$C$35,"Налич")</s:f>
        <s:v>0</s:v>
      </s:c>
      <s:c r="Q40" s="100">
        <s:f>SUMIFS(Q4:Q35,$C$4:$C$35,"Налич")</s:f>
        <s:v>0</s:v>
      </s:c>
      <s:c r="R40" s="101">
        <s:f>SUMIFS(R4:R35,$C$4:$C$35,"Налич")</s:f>
        <s:v>0</s:v>
      </s:c>
      <s:c r="S40" s="102">
        <s:f>SUMIFS(S4:S35,$C$4:$C$35,"Налич")</s:f>
        <s:v>0</s:v>
      </s:c>
      <s:c r="T40" s="100">
        <s:f>SUMIFS(T4:T35,$C$4:$C$35,"Налич")</s:f>
        <s:v>0</s:v>
      </s:c>
      <s:c r="U40" s="103">
        <s:f>SUMIFS(U4:U35,$C$4:$C$35,"Налич")</s:f>
        <s:v>0</s:v>
      </s:c>
      <s:c r="V40" s="99">
        <s:f>SUMIFS(V4:V35,$C$4:$C$35,"Налич")</s:f>
        <s:v>0</s:v>
      </s:c>
      <s:c r="W40" s="100">
        <s:f>SUMIFS(W4:W35,$C$4:$C$35,"Налич")</s:f>
        <s:v>0</s:v>
      </s:c>
      <s:c r="X40" s="101">
        <s:f>SUMIFS(X4:X35,$C$4:$C$35,"Налич")</s:f>
        <s:v>0</s:v>
      </s:c>
      <s:c r="Y40" s="102">
        <s:f>SUMIFS(Y4:Y35,$C$4:$C$35,"Налич")</s:f>
        <s:v>0</s:v>
      </s:c>
      <s:c r="Z40" s="100">
        <s:f>SUMIFS(Z4:Z35,$C$4:$C$35,"Налич")</s:f>
        <s:v>0</s:v>
      </s:c>
      <s:c r="AA40" s="103">
        <s:f>SUMIFS(AA4:AA35,$C$4:$C$35,"Налич")</s:f>
        <s:v>0</s:v>
      </s:c>
      <s:c r="AB40" s="99">
        <s:f>SUMIFS(AB4:AB35,$C$4:$C$35,"Налич")</s:f>
        <s:v>0</s:v>
      </s:c>
      <s:c r="AC40" s="100">
        <s:f>SUMIFS(AC4:AC35,$C$4:$C$35,"Налич")</s:f>
        <s:v>0</s:v>
      </s:c>
      <s:c r="AD40" s="101">
        <s:f>SUMIFS(AD4:AD35,$C$4:$C$35,"Налич")</s:f>
        <s:v>0</s:v>
      </s:c>
      <s:c r="AE40" s="102">
        <s:f>SUMIFS(AE4:AE35,$C$4:$C$35,"Налич")</s:f>
        <s:v>0</s:v>
      </s:c>
      <s:c r="AF40" s="100">
        <s:f>SUMIFS(AF4:AF35,$C$4:$C$35,"Налич")</s:f>
        <s:v>0</s:v>
      </s:c>
      <s:c r="AG40" s="103">
        <s:f>SUMIFS(AG4:AG35,$C$4:$C$35,"Налич")</s:f>
        <s:v>0</s:v>
      </s:c>
      <s:c r="AH40" s="99">
        <s:f>SUMIFS(AH4:AH35,$C$4:$C$35,"Налич")</s:f>
        <s:v>0</s:v>
      </s:c>
      <s:c r="AI40" s="100">
        <s:f>SUMIFS(AI4:AI35,$C$4:$C$35,"Налич")</s:f>
        <s:v>0</s:v>
      </s:c>
      <s:c r="AJ40" s="101">
        <s:f>SUMIFS(AJ4:AJ35,$C$4:$C$35,"Налич")</s:f>
        <s:v>0</s:v>
      </s:c>
      <s:c r="AK40" s="102">
        <s:f>SUMIFS(AK4:AK35,$C$4:$C$35,"Налич")</s:f>
        <s:v>0</s:v>
      </s:c>
      <s:c r="AL40" s="100">
        <s:f>SUMIFS(AL4:AL35,$C$4:$C$35,"Налич")</s:f>
        <s:v>0</s:v>
      </s:c>
      <s:c r="AM40" s="103">
        <s:f>SUMIFS(AM4:AM35,$C$4:$C$35,"Налич")</s:f>
        <s:v>0</s:v>
      </s:c>
      <s:c r="AN40" s="99">
        <s:f>SUMIFS(AN4:AN35,$C$4:$C$35,"Налич")</s:f>
        <s:v>0</s:v>
      </s:c>
      <s:c r="AO40" s="100">
        <s:f>SUMIFS(AO4:AO35,$C$4:$C$35,"Налич")</s:f>
        <s:v>0</s:v>
      </s:c>
      <s:c r="AP40" s="101">
        <s:f>SUMIFS(AP4:AP35,$C$4:$C$35,"Налич")</s:f>
        <s:v>0</s:v>
      </s:c>
      <s:c r="AQ40" s="102">
        <s:f>SUMIFS(AQ4:AQ35,$C$4:$C$35,"Налич")</s:f>
        <s:v>0</s:v>
      </s:c>
      <s:c r="AR40" s="100">
        <s:f>SUMIFS(AR4:AR35,$C$4:$C$35,"Налич")</s:f>
        <s:v>0</s:v>
      </s:c>
      <s:c r="AS40" s="103">
        <s:f>SUMIFS(AS4:AS35,$C$4:$C$35,"Налич")</s:f>
        <s:v>0</s:v>
      </s:c>
      <s:c r="AT40" s="99">
        <s:f>SUMIFS(AT4:AT35,$C$4:$C$35,"Налич")</s:f>
        <s:v>0</s:v>
      </s:c>
      <s:c r="AU40" s="100">
        <s:f>SUMIFS(AU4:AU35,$C$4:$C$35,"Налич")</s:f>
        <s:v>0</s:v>
      </s:c>
      <s:c r="AV40" s="101">
        <s:f>SUMIFS(AV4:AV35,$C$4:$C$35,"Налич")</s:f>
        <s:v>0</s:v>
      </s:c>
      <s:c r="AW40" s="102">
        <s:f>SUMIFS(AW4:AW35,$C$4:$C$35,"Налич")</s:f>
        <s:v>0</s:v>
      </s:c>
      <s:c r="AX40" s="100">
        <s:f>SUMIFS(AX4:AX35,$C$4:$C$35,"Налич")</s:f>
        <s:v>0</s:v>
      </s:c>
      <s:c r="AY40" s="103">
        <s:f>SUMIFS(AY4:AY35,$C$4:$C$35,"Налич")</s:f>
        <s:v>0</s:v>
      </s:c>
      <s:c r="AZ40" s="99">
        <s:f>SUMIFS(AZ4:AZ35,$C$4:$C$35,"Налич")</s:f>
        <s:v>0</s:v>
      </s:c>
      <s:c r="BA40" s="100">
        <s:f>SUMIFS(BA4:BA35,$C$4:$C$35,"Налич")</s:f>
        <s:v>0</s:v>
      </s:c>
      <s:c r="BB40" s="101">
        <s:f>SUMIFS(BB4:BB35,$C$4:$C$35,"Налич")</s:f>
        <s:v>0</s:v>
      </s:c>
      <s:c r="BC40" s="102">
        <s:f>SUMIFS(BC4:BC35,$C$4:$C$35,"Налич")</s:f>
        <s:v>0</s:v>
      </s:c>
      <s:c r="BD40" s="100">
        <s:f>SUMIFS(BD4:BD35,$C$4:$C$35,"Налич")</s:f>
        <s:v>0</s:v>
      </s:c>
      <s:c r="BE40" s="103">
        <s:f>SUMIFS(BE4:BE35,$C$4:$C$35,"Налич")</s:f>
        <s:v>0</s:v>
      </s:c>
      <s:c r="BF40" s="99">
        <s:f>SUMIFS(BF4:BF35,$C$4:$C$35,"Налич")</s:f>
        <s:v>0</s:v>
      </s:c>
      <s:c r="BG40" s="100">
        <s:f>SUMIFS(BG4:BG35,$C$4:$C$35,"Налич")</s:f>
        <s:v>17</s:v>
      </s:c>
      <s:c r="BH40" s="101">
        <s:f>SUMIFS(BH4:BH35,$C$4:$C$35,"Налич")</s:f>
        <s:v>17</s:v>
      </s:c>
      <s:c r="BI40" s="102">
        <s:f>SUMIFS(BI4:BI35,$C$4:$C$35,"Налич")</s:f>
        <s:v>17</s:v>
      </s:c>
      <s:c r="BJ40" s="100">
        <s:f>SUMIFS(BJ4:BJ35,$C$4:$C$35,"Налич")</s:f>
        <s:v>17</s:v>
      </s:c>
      <s:c r="BK40" s="103">
        <s:f>SUMIFS(BK4:BK35,$C$4:$C$35,"Налич")</s:f>
        <s:v>17</s:v>
      </s:c>
      <s:c r="BL40" s="99">
        <s:f>SUMIFS(BL4:BL35,$C$4:$C$35,"Налич")</s:f>
        <s:v>17</s:v>
      </s:c>
      <s:c r="BM40" s="100">
        <s:f>SUMIFS(BM4:BM35,$C$4:$C$35,"Налич")</s:f>
        <s:v>17</s:v>
      </s:c>
      <s:c r="BN40" s="101">
        <s:f>SUMIFS(BN4:BN35,$C$4:$C$35,"Налич")</s:f>
        <s:v>17</s:v>
      </s:c>
      <s:c r="BO40" s="102">
        <s:f>SUMIFS(BO4:BO35,$C$4:$C$35,"Налич")</s:f>
        <s:v>17</s:v>
      </s:c>
      <s:c r="BP40" s="100">
        <s:f>SUMIFS(BP4:BP35,$C$4:$C$35,"Налич")</s:f>
        <s:v>17</s:v>
      </s:c>
      <s:c r="BQ40" s="103">
        <s:f>SUMIFS(BQ4:BQ35,$C$4:$C$35,"Налич")</s:f>
        <s:v>17</s:v>
      </s:c>
      <s:c r="BR40" s="99">
        <s:f>SUMIFS(BR4:BR35,$C$4:$C$35,"Налич")</s:f>
        <s:v>17</s:v>
      </s:c>
      <s:c r="BS40" s="100">
        <s:f>SUMIFS(BS4:BS35,$C$4:$C$35,"Налич")</s:f>
        <s:v>17</s:v>
      </s:c>
      <s:c r="BT40" s="101">
        <s:f>SUMIFS(BT4:BT35,$C$4:$C$35,"Налич")</s:f>
        <s:v>17</s:v>
      </s:c>
      <s:c r="BU40" s="102">
        <s:f>SUMIFS(BU4:BU35,$C$4:$C$35,"Налич")</s:f>
        <s:v>17</s:v>
      </s:c>
      <s:c r="BV40" s="100">
        <s:f>SUMIFS(BV4:BV35,$C$4:$C$35,"Налич")</s:f>
        <s:v>17</s:v>
      </s:c>
      <s:c r="BW40" s="103">
        <s:f>SUMIFS(BW4:BW35,$C$4:$C$35,"Налич")</s:f>
        <s:v>17</s:v>
      </s:c>
      <s:c r="BX40" s="99">
        <s:f>SUMIFS(BX4:BX35,$C$4:$C$35,"Налич")</s:f>
        <s:v>17</s:v>
      </s:c>
      <s:c r="BY40" s="100">
        <s:f>SUMIFS(BY4:BY35,$C$4:$C$35,"Налич")</s:f>
        <s:v>17</s:v>
      </s:c>
      <s:c r="BZ40" s="101">
        <s:f>SUMIFS(BZ4:BZ35,$C$4:$C$35,"Налич")</s:f>
        <s:v>17</s:v>
      </s:c>
      <s:c r="CA40" s="102">
        <s:f>SUMIFS(CA4:CA35,$C$4:$C$35,"Налич")</s:f>
        <s:v>17</s:v>
      </s:c>
      <s:c r="CB40" s="100">
        <s:f>SUMIFS(CB4:CB35,$C$4:$C$35,"Налич")</s:f>
        <s:v>0</s:v>
      </s:c>
      <s:c r="CC40" s="103">
        <s:f>SUMIFS(CC4:CC35,$C$4:$C$35,"Налич")</s:f>
        <s:v>0</s:v>
      </s:c>
      <s:c r="CD40" s="99">
        <s:f>SUMIFS(CD4:CD35,$C$4:$C$35,"Налич")</s:f>
        <s:v>0</s:v>
      </s:c>
      <s:c r="CE40" s="100">
        <s:f>SUMIFS(CE4:CE35,$C$4:$C$35,"Налич")</s:f>
        <s:v>0</s:v>
      </s:c>
      <s:c r="CF40" s="101">
        <s:f>SUMIFS(CF4:CF35,$C$4:$C$35,"Налич")</s:f>
        <s:v>0</s:v>
      </s:c>
      <s:c r="CG40" s="102">
        <s:f>SUMIFS(CG4:CG35,$C$4:$C$35,"Налич")</s:f>
        <s:v>0</s:v>
      </s:c>
      <s:c r="CH40" s="100">
        <s:f>SUMIFS(CH4:CH35,$C$4:$C$35,"Налич")</s:f>
        <s:v>0</s:v>
      </s:c>
      <s:c r="CI40" s="103">
        <s:f>SUMIFS(CI4:CI35,$C$4:$C$35,"Налич")</s:f>
        <s:v>0</s:v>
      </s:c>
      <s:c r="CJ40" s="99">
        <s:f>SUMIFS(CJ4:CJ35,$C$4:$C$35,"Налич")</s:f>
        <s:v>0</s:v>
      </s:c>
      <s:c r="CK40" s="100">
        <s:f>SUMIFS(CK4:CK35,$C$4:$C$35,"Налич")</s:f>
        <s:v>0</s:v>
      </s:c>
      <s:c r="CL40" s="101">
        <s:f>SUMIFS(CL4:CL35,$C$4:$C$35,"Налич")</s:f>
        <s:v>0</s:v>
      </s:c>
      <s:c r="CM40" s="102">
        <s:f>SUMIFS(CM4:CM35,$C$4:$C$35,"Налич")</s:f>
        <s:v>0</s:v>
      </s:c>
      <s:c r="CN40" s="100">
        <s:f>SUMIFS(CN4:CN35,$C$4:$C$35,"Налич")</s:f>
        <s:v>0</s:v>
      </s:c>
      <s:c r="CO40" s="103">
        <s:f>SUMIFS(CO4:CO35,$C$4:$C$35,"Налич")</s:f>
        <s:v>0</s:v>
      </s:c>
      <s:c r="CP40" s="99">
        <s:f>SUMIFS(CP4:CP35,$C$4:$C$35,"Налич")</s:f>
        <s:v>0</s:v>
      </s:c>
      <s:c r="CQ40" s="100">
        <s:f>SUMIFS(CQ4:CQ35,$C$4:$C$35,"Налич")</s:f>
        <s:v>0</s:v>
      </s:c>
      <s:c r="CR40" s="101">
        <s:f>SUMIFS(CR4:CR35,$C$4:$C$35,"Налич")</s:f>
        <s:v>0</s:v>
      </s:c>
      <s:c r="CW40" s="114"/>
      <s:c r="CX40" s="114"/>
      <s:c r="CY40" s="112"/>
    </s:row>
    <s:row r="41" ht="24.75">
      <s:c r="B41" s="73" t="s">
        <s:v>34</s:v>
      </s:c>
      <s:c r="D41" s="151">
        <s:f>D38*$D$46+E38*$D$47+F38*$D$48</s:f>
        <s:v>0</s:v>
      </s:c>
      <s:c r="E41" s="152"/>
      <s:c r="F41" s="153"/>
      <s:c r="G41" s="154">
        <s:f>G38*$D$46+H38*$D$47+I38*$D$48</s:f>
        <s:v>0</s:v>
      </s:c>
      <s:c r="H41" s="152"/>
      <s:c r="I41" s="155"/>
      <s:c r="J41" s="151">
        <s:f>J38*$D$46+K38*$D$47+L38*$D$48</s:f>
        <s:v>0</s:v>
      </s:c>
      <s:c r="K41" s="152"/>
      <s:c r="L41" s="153"/>
      <s:c r="M41" s="154">
        <s:f>M38*$D$46+N38*$D$47+O38*$D$48</s:f>
        <s:v>0</s:v>
      </s:c>
      <s:c r="N41" s="152"/>
      <s:c r="O41" s="155"/>
      <s:c r="P41" s="151">
        <s:f>P38*$D$46+Q38*$D$47+R38*$D$48</s:f>
        <s:v>0</s:v>
      </s:c>
      <s:c r="Q41" s="152"/>
      <s:c r="R41" s="153"/>
      <s:c r="S41" s="154">
        <s:f>S38*$D$46+T38*$D$47+U38*$D$48</s:f>
        <s:v>0</s:v>
      </s:c>
      <s:c r="T41" s="152"/>
      <s:c r="U41" s="155"/>
      <s:c r="V41" s="151">
        <s:f>V38*$D$46+W38*$D$47+X38*$D$48</s:f>
        <s:v>0</s:v>
      </s:c>
      <s:c r="W41" s="152"/>
      <s:c r="X41" s="153"/>
      <s:c r="Y41" s="154">
        <s:f>Y38*$D$46+Z38*$D$47+AA38*$D$48</s:f>
        <s:v>0</s:v>
      </s:c>
      <s:c r="Z41" s="152"/>
      <s:c r="AA41" s="155"/>
      <s:c r="AB41" s="151">
        <s:f>AB38*$D$46+AC38*$D$47+AD38*$D$48</s:f>
        <s:v>0</s:v>
      </s:c>
      <s:c r="AC41" s="152"/>
      <s:c r="AD41" s="153"/>
      <s:c r="AE41" s="154">
        <s:f>AE38*$D$46+AF38*$D$47+AG38*$D$48</s:f>
        <s:v>0</s:v>
      </s:c>
      <s:c r="AF41" s="152"/>
      <s:c r="AG41" s="155"/>
      <s:c r="AH41" s="151">
        <s:f>AH38*$D$46+AI38*$D$47+AJ38*$D$48</s:f>
        <s:v>0</s:v>
      </s:c>
      <s:c r="AI41" s="152"/>
      <s:c r="AJ41" s="153"/>
      <s:c r="AK41" s="154">
        <s:f>AK38*$D$46+AL38*$D$47+AM38*$D$48</s:f>
        <s:v>0</s:v>
      </s:c>
      <s:c r="AL41" s="152"/>
      <s:c r="AM41" s="155"/>
      <s:c r="AN41" s="151">
        <s:f>AN38*$D$46+AO38*$D$47+AP38*$D$48</s:f>
        <s:v>0</s:v>
      </s:c>
      <s:c r="AO41" s="152"/>
      <s:c r="AP41" s="153"/>
      <s:c r="AQ41" s="154">
        <s:f>AQ38*$D$46+AR38*$D$47+AS38*$D$48</s:f>
        <s:v>0</s:v>
      </s:c>
      <s:c r="AR41" s="152"/>
      <s:c r="AS41" s="155"/>
      <s:c r="AT41" s="151">
        <s:f>AT38*$D$46+AU38*$D$47+AV38*$D$48</s:f>
        <s:v>0</s:v>
      </s:c>
      <s:c r="AU41" s="152"/>
      <s:c r="AV41" s="153"/>
      <s:c r="AW41" s="154">
        <s:f>AW38*$D$46+AX38*$D$47+AY38*$D$48</s:f>
        <s:v>0</s:v>
      </s:c>
      <s:c r="AX41" s="152"/>
      <s:c r="AY41" s="155"/>
      <s:c r="AZ41" s="151">
        <s:f>AZ38*$D$46+BA38*$D$47+BB38*$D$48</s:f>
        <s:v>0</s:v>
      </s:c>
      <s:c r="BA41" s="152"/>
      <s:c r="BB41" s="153"/>
      <s:c r="BC41" s="154">
        <s:f>BC38*$D$46+BD38*$D$47+BE38*$D$48</s:f>
        <s:v>0</s:v>
      </s:c>
      <s:c r="BD41" s="152"/>
      <s:c r="BE41" s="155"/>
      <s:c r="BF41" s="151">
        <s:f>BF38*$D$46+BG38*$D$47+BH38*$D$48</s:f>
        <s:v>0</s:v>
      </s:c>
      <s:c r="BG41" s="152"/>
      <s:c r="BH41" s="153"/>
      <s:c r="BI41" s="154">
        <s:f>BI38*$D$46+BJ38*$D$47+BK38*$D$48</s:f>
        <s:v>0</s:v>
      </s:c>
      <s:c r="BJ41" s="152"/>
      <s:c r="BK41" s="155"/>
      <s:c r="BL41" s="151">
        <s:f>BL38*$D$46+BM38*$D$47+BN38*$D$48</s:f>
        <s:v>0</s:v>
      </s:c>
      <s:c r="BM41" s="152"/>
      <s:c r="BN41" s="153"/>
      <s:c r="BO41" s="154">
        <s:f>BO38*$D$46+BP38*$D$47+BQ38*$D$48</s:f>
        <s:v>0</s:v>
      </s:c>
      <s:c r="BP41" s="152"/>
      <s:c r="BQ41" s="155"/>
      <s:c r="BR41" s="151">
        <s:f>BR38*$D$46+BS38*$D$47+BT38*$D$48</s:f>
        <s:v>0</s:v>
      </s:c>
      <s:c r="BS41" s="152"/>
      <s:c r="BT41" s="153"/>
      <s:c r="BU41" s="154">
        <s:f>BU38*$D$46+BV38*$D$47+BW38*$D$48</s:f>
        <s:v>0</s:v>
      </s:c>
      <s:c r="BV41" s="152"/>
      <s:c r="BW41" s="155"/>
      <s:c r="BX41" s="151">
        <s:f>BX38*$D$46+BY38*$D$47+BZ38*$D$48</s:f>
        <s:v>0</s:v>
      </s:c>
      <s:c r="BY41" s="152"/>
      <s:c r="BZ41" s="153"/>
      <s:c r="CA41" s="154">
        <s:f>CA38*$D$46+CB38*$D$47+CC38*$D$48</s:f>
        <s:v>0</s:v>
      </s:c>
      <s:c r="CB41" s="152"/>
      <s:c r="CC41" s="155"/>
      <s:c r="CD41" s="151">
        <s:f>CD38*$D$46+CE38*$D$47+CF38*$D$48</s:f>
        <s:v>0</s:v>
      </s:c>
      <s:c r="CE41" s="152"/>
      <s:c r="CF41" s="153"/>
      <s:c r="CG41" s="154">
        <s:f>CG38*$D$46+CH38*$D$47+CI38*$D$48</s:f>
        <s:v>0</s:v>
      </s:c>
      <s:c r="CH41" s="152"/>
      <s:c r="CI41" s="155"/>
      <s:c r="CJ41" s="151">
        <s:f>CJ38*$D$46+CK38*$D$47+CL38*$D$48</s:f>
        <s:v>0</s:v>
      </s:c>
      <s:c r="CK41" s="152"/>
      <s:c r="CL41" s="153"/>
      <s:c r="CM41" s="154">
        <s:f>CM38*$D$46+CN38*$D$47+CO38*$D$48</s:f>
        <s:v>0</s:v>
      </s:c>
      <s:c r="CN41" s="152"/>
      <s:c r="CO41" s="155"/>
      <s:c r="CP41" s="151">
        <s:f>CP38*$D$46+CQ38*$D$47+CR38*$D$48</s:f>
        <s:v>0</s:v>
      </s:c>
      <s:c r="CQ41" s="152"/>
      <s:c r="CR41" s="153"/>
      <s:c r="CS41" s="104"/>
      <s:c r="CT41" s="105"/>
      <s:c r="CU41" s="105"/>
      <s:c r="CV41" s="105"/>
      <s:c r="CW41" s="115" t="s">
        <s:v>38</s:v>
      </s:c>
      <s:c r="CX41" s="113">
        <s:f>SUM(D41:CR41)</s:f>
        <s:v>0</s:v>
      </s:c>
      <s:c r="CY41" s="112"/>
    </s:row>
    <s:row r="42" ht="24.75">
      <s:c r="B42" s="73" t="s">
        <s:v>35</s:v>
      </s:c>
      <s:c r="D42" s="149">
        <s:f>D39*$C$46+E39*$C$47+F39*$C$48</s:f>
        <s:v>4950</s:v>
      </s:c>
      <s:c r="E42" s="147"/>
      <s:c r="F42" s="150"/>
      <s:c r="G42" s="146">
        <s:f>G39*$C$46+H39*$C$47+I39*$C$48</s:f>
        <s:v>2400</s:v>
      </s:c>
      <s:c r="H42" s="147"/>
      <s:c r="I42" s="148"/>
      <s:c r="J42" s="149">
        <s:f>J39*$C$46+K39*$C$47+L39*$C$48</s:f>
        <s:v>0</s:v>
      </s:c>
      <s:c r="K42" s="147"/>
      <s:c r="L42" s="150"/>
      <s:c r="M42" s="149">
        <s:f>M39*$C$46+N39*$C$47+O39*$C$48</s:f>
        <s:v>0</s:v>
      </s:c>
      <s:c r="N42" s="147"/>
      <s:c r="O42" s="150"/>
      <s:c r="P42" s="149">
        <s:f>P39*$C$46+Q39*$C$47+R39*$C$48</s:f>
        <s:v>0</s:v>
      </s:c>
      <s:c r="Q42" s="147"/>
      <s:c r="R42" s="150"/>
      <s:c r="S42" s="149">
        <s:f>S39*$C$46+T39*$C$47+U39*$C$48</s:f>
        <s:v>0</s:v>
      </s:c>
      <s:c r="T42" s="147"/>
      <s:c r="U42" s="150"/>
      <s:c r="V42" s="149">
        <s:f>V39*$C$46+W39*$C$47+X39*$C$48</s:f>
        <s:v>0</s:v>
      </s:c>
      <s:c r="W42" s="147"/>
      <s:c r="X42" s="150"/>
      <s:c r="Y42" s="149">
        <s:f>Y39*$C$46+Z39*$C$47+AA39*$C$48</s:f>
        <s:v>0</s:v>
      </s:c>
      <s:c r="Z42" s="147"/>
      <s:c r="AA42" s="150"/>
      <s:c r="AB42" s="149">
        <s:f>AB39*$C$46+AC39*$C$47+AD39*$C$48</s:f>
        <s:v>0</s:v>
      </s:c>
      <s:c r="AC42" s="147"/>
      <s:c r="AD42" s="150"/>
      <s:c r="AE42" s="146">
        <s:f>AE39*$C$46+AF39*$C$47+AG39*$C$48</s:f>
        <s:v>0</s:v>
      </s:c>
      <s:c r="AF42" s="147"/>
      <s:c r="AG42" s="148"/>
      <s:c r="AH42" s="149">
        <s:f>AH39*$C$46+AI39*$C$47+AJ39*$C$48</s:f>
        <s:v>0</s:v>
      </s:c>
      <s:c r="AI42" s="147"/>
      <s:c r="AJ42" s="150"/>
      <s:c r="AK42" s="146">
        <s:f>AK39*$C$46+AL39*$C$47+AM39*$C$48</s:f>
        <s:v>0</s:v>
      </s:c>
      <s:c r="AL42" s="147"/>
      <s:c r="AM42" s="148"/>
      <s:c r="AN42" s="149">
        <s:f>AN39*$C$46+AO39*$C$47+AP39*$C$48</s:f>
        <s:v>0</s:v>
      </s:c>
      <s:c r="AO42" s="147"/>
      <s:c r="AP42" s="150"/>
      <s:c r="AQ42" s="146">
        <s:f>AQ39*$C$46+AR39*$C$47+AS39*$C$48</s:f>
        <s:v>0</s:v>
      </s:c>
      <s:c r="AR42" s="147"/>
      <s:c r="AS42" s="148"/>
      <s:c r="AT42" s="149">
        <s:f>AT39*$C$46+AU39*$C$47+AV39*$C$48</s:f>
        <s:v>0</s:v>
      </s:c>
      <s:c r="AU42" s="147"/>
      <s:c r="AV42" s="150"/>
      <s:c r="AW42" s="146">
        <s:f>AW39*$C$46+AX39*$C$47+AY39*$C$48</s:f>
        <s:v>0</s:v>
      </s:c>
      <s:c r="AX42" s="147"/>
      <s:c r="AY42" s="148"/>
      <s:c r="AZ42" s="149">
        <s:f>AZ39*$C$46+BA39*$C$47+BB39*$C$48</s:f>
        <s:v>9350</s:v>
      </s:c>
      <s:c r="BA42" s="147"/>
      <s:c r="BB42" s="150"/>
      <s:c r="BC42" s="146">
        <s:f>BC39*$C$46+BD39*$C$47+BE39*$C$48</s:f>
        <s:v>18150</s:v>
      </s:c>
      <s:c r="BD42" s="147"/>
      <s:c r="BE42" s="148"/>
      <s:c r="BF42" s="149">
        <s:f>BF39*$C$46+BG39*$C$47+BH39*$C$48</s:f>
        <s:v>18150</s:v>
      </s:c>
      <s:c r="BG42" s="147"/>
      <s:c r="BH42" s="150"/>
      <s:c r="BI42" s="146">
        <s:f>BI39*$C$46+BJ39*$C$47+BK39*$C$48</s:f>
        <s:v>18150</s:v>
      </s:c>
      <s:c r="BJ42" s="147"/>
      <s:c r="BK42" s="148"/>
      <s:c r="BL42" s="149">
        <s:f>BL39*$C$46+BM39*$C$47+BN39*$C$48</s:f>
        <s:v>18150</s:v>
      </s:c>
      <s:c r="BM42" s="147"/>
      <s:c r="BN42" s="150"/>
      <s:c r="BO42" s="146">
        <s:f>BO39*$C$46+BP39*$C$47+BQ39*$C$48</s:f>
        <s:v>18150</s:v>
      </s:c>
      <s:c r="BP42" s="147"/>
      <s:c r="BQ42" s="148"/>
      <s:c r="BR42" s="149">
        <s:f>BR39*$C$46+BS39*$C$47+BT39*$C$48</s:f>
        <s:v>18150</s:v>
      </s:c>
      <s:c r="BS42" s="147"/>
      <s:c r="BT42" s="150"/>
      <s:c r="BU42" s="146">
        <s:f>BU39*$C$46+BV39*$C$47+BW39*$C$48</s:f>
        <s:v>18150</s:v>
      </s:c>
      <s:c r="BV42" s="147"/>
      <s:c r="BW42" s="148"/>
      <s:c r="BX42" s="149">
        <s:f>BX39*$C$46+BY39*$C$47+BZ39*$C$48</s:f>
        <s:v>18150</s:v>
      </s:c>
      <s:c r="BY42" s="147"/>
      <s:c r="BZ42" s="150"/>
      <s:c r="CA42" s="146">
        <s:f>CA39*$C$46+CB39*$C$47+CC39*$C$48</s:f>
        <s:v>8800</s:v>
      </s:c>
      <s:c r="CB42" s="147"/>
      <s:c r="CC42" s="148"/>
      <s:c r="CD42" s="149">
        <s:f>CD39*$C$46+CE39*$C$47+CF39*$C$48</s:f>
        <s:v>0</s:v>
      </s:c>
      <s:c r="CE42" s="147"/>
      <s:c r="CF42" s="150"/>
      <s:c r="CG42" s="146">
        <s:f>CG39*$C$46+CH39*$C$47+CI39*$C$48</s:f>
        <s:v>0</s:v>
      </s:c>
      <s:c r="CH42" s="147"/>
      <s:c r="CI42" s="148"/>
      <s:c r="CJ42" s="149">
        <s:f>CJ39*$C$46+CK39*$C$47+CL39*$C$48</s:f>
        <s:v>0</s:v>
      </s:c>
      <s:c r="CK42" s="147"/>
      <s:c r="CL42" s="150"/>
      <s:c r="CM42" s="146">
        <s:f>CM39*$C$46+CN39*$C$47+CO39*$C$48</s:f>
        <s:v>0</s:v>
      </s:c>
      <s:c r="CN42" s="147"/>
      <s:c r="CO42" s="148"/>
      <s:c r="CP42" s="149">
        <s:f>CP39*$C$46+CQ39*$C$47+CR39*$C$48</s:f>
        <s:v>0</s:v>
      </s:c>
      <s:c r="CQ42" s="147"/>
      <s:c r="CR42" s="150"/>
      <s:c r="CS42" s="106"/>
      <s:c r="CT42" s="107"/>
      <s:c r="CU42" s="107"/>
      <s:c r="CV42" s="116" t="s">
        <s:v>41</s:v>
      </s:c>
      <s:c r="CW42" s="113">
        <s:f>SUM(D42:CR42)</s:f>
        <s:v>170700</s:v>
      </s:c>
      <s:c r="CY42" s="112"/>
    </s:row>
    <s:row r="43" ht="24.75">
      <s:c r="B43" s="73" t="s">
        <s:v>36</s:v>
      </s:c>
      <s:c r="D43" s="156">
        <s:f>D40*$C$46+E40*$C$47+F40*$C$48</s:f>
        <s:v>0</s:v>
      </s:c>
      <s:c r="E43" s="157"/>
      <s:c r="F43" s="158"/>
      <s:c r="G43" s="159">
        <s:f>G40*$C$46+H40*$C$47+I40*$C$48</s:f>
        <s:v>0</s:v>
      </s:c>
      <s:c r="H43" s="157"/>
      <s:c r="I43" s="160"/>
      <s:c r="J43" s="161">
        <s:f>J40*$C$46+K40*$C$47+L40*$C$48</s:f>
        <s:v>0</s:v>
      </s:c>
      <s:c r="K43" s="162"/>
      <s:c r="L43" s="163"/>
      <s:c r="M43" s="161">
        <s:f>M40*$C$46+N40*$C$47+O40*$C$48</s:f>
        <s:v>0</s:v>
      </s:c>
      <s:c r="N43" s="162"/>
      <s:c r="O43" s="163"/>
      <s:c r="P43" s="161">
        <s:f>P40*$C$46+Q40*$C$47+R40*$C$48</s:f>
        <s:v>0</s:v>
      </s:c>
      <s:c r="Q43" s="162"/>
      <s:c r="R43" s="163"/>
      <s:c r="S43" s="161">
        <s:f>S40*$C$46+T40*$C$47+U40*$C$48</s:f>
        <s:v>0</s:v>
      </s:c>
      <s:c r="T43" s="162"/>
      <s:c r="U43" s="163"/>
      <s:c r="V43" s="161">
        <s:f>V40*$C$46+W40*$C$47+X40*$C$48</s:f>
        <s:v>0</s:v>
      </s:c>
      <s:c r="W43" s="162"/>
      <s:c r="X43" s="163"/>
      <s:c r="Y43" s="161">
        <s:f>Y40*$C$46+Z40*$C$47+AA40*$C$48</s:f>
        <s:v>0</s:v>
      </s:c>
      <s:c r="Z43" s="162"/>
      <s:c r="AA43" s="163"/>
      <s:c r="AB43" s="161">
        <s:f>AB40*$C$46+AC40*$C$47+AD40*$C$48</s:f>
        <s:v>0</s:v>
      </s:c>
      <s:c r="AC43" s="162"/>
      <s:c r="AD43" s="163"/>
      <s:c r="AE43" s="161">
        <s:f>AE40*$C$46+AF40*$C$47+AG40*$C$48</s:f>
        <s:v>0</s:v>
      </s:c>
      <s:c r="AF43" s="162"/>
      <s:c r="AG43" s="163"/>
      <s:c r="AH43" s="161">
        <s:f>AH40*$C$46+AI40*$C$47+AJ40*$C$48</s:f>
        <s:v>0</s:v>
      </s:c>
      <s:c r="AI43" s="162"/>
      <s:c r="AJ43" s="163"/>
      <s:c r="AK43" s="161">
        <s:f>AK40*$C$46+AL40*$C$47+AM40*$C$48</s:f>
        <s:v>0</s:v>
      </s:c>
      <s:c r="AL43" s="162"/>
      <s:c r="AM43" s="163"/>
      <s:c r="AN43" s="161">
        <s:f>AN40*$C$46+AO40*$C$47+AP40*$C$48</s:f>
        <s:v>0</s:v>
      </s:c>
      <s:c r="AO43" s="162"/>
      <s:c r="AP43" s="163"/>
      <s:c r="AQ43" s="161">
        <s:f>AQ40*$C$46+AR40*$C$47+AS40*$C$48</s:f>
        <s:v>0</s:v>
      </s:c>
      <s:c r="AR43" s="162"/>
      <s:c r="AS43" s="163"/>
      <s:c r="AT43" s="156">
        <s:f>AT40*$C$46+AU40*$C$47+AV40*$C$48</s:f>
        <s:v>0</s:v>
      </s:c>
      <s:c r="AU43" s="157"/>
      <s:c r="AV43" s="158"/>
      <s:c r="AW43" s="159">
        <s:f>AW40*$C$46+AX40*$C$47+AY40*$C$48</s:f>
        <s:v>0</s:v>
      </s:c>
      <s:c r="AX43" s="157"/>
      <s:c r="AY43" s="160"/>
      <s:c r="AZ43" s="156">
        <s:f>AZ40*$C$46+BA40*$C$47+BB40*$C$48</s:f>
        <s:v>0</s:v>
      </s:c>
      <s:c r="BA43" s="157"/>
      <s:c r="BB43" s="158"/>
      <s:c r="BC43" s="159">
        <s:f>BC40*$C$46+BD40*$C$47+BE40*$C$48</s:f>
        <s:v>0</s:v>
      </s:c>
      <s:c r="BD43" s="157"/>
      <s:c r="BE43" s="160"/>
      <s:c r="BF43" s="156">
        <s:f>BF40*$C$46+BG40*$C$47+BH40*$C$48</s:f>
        <s:v>31450</s:v>
      </s:c>
      <s:c r="BG43" s="157"/>
      <s:c r="BH43" s="158"/>
      <s:c r="BI43" s="159">
        <s:f>BI40*$C$46+BJ40*$C$47+BK40*$C$48</s:f>
        <s:v>45050</s:v>
      </s:c>
      <s:c r="BJ43" s="157"/>
      <s:c r="BK43" s="160"/>
      <s:c r="BL43" s="156">
        <s:f>BL40*$C$46+BM40*$C$47+BN40*$C$48</s:f>
        <s:v>45050</s:v>
      </s:c>
      <s:c r="BM43" s="157"/>
      <s:c r="BN43" s="158"/>
      <s:c r="BO43" s="159">
        <s:f>BO40*$C$46+BP40*$C$47+BQ40*$C$48</s:f>
        <s:v>45050</s:v>
      </s:c>
      <s:c r="BP43" s="157"/>
      <s:c r="BQ43" s="160"/>
      <s:c r="BR43" s="156">
        <s:f>BR40*$C$46+BS40*$C$47+BT40*$C$48</s:f>
        <s:v>45050</s:v>
      </s:c>
      <s:c r="BS43" s="157"/>
      <s:c r="BT43" s="158"/>
      <s:c r="BU43" s="159">
        <s:f>BU40*$C$46+BV40*$C$47+BW40*$C$48</s:f>
        <s:v>45050</s:v>
      </s:c>
      <s:c r="BV43" s="157"/>
      <s:c r="BW43" s="160"/>
      <s:c r="BX43" s="156">
        <s:f>BX40*$C$46+BY40*$C$47+BZ40*$C$48</s:f>
        <s:v>45050</s:v>
      </s:c>
      <s:c r="BY43" s="157"/>
      <s:c r="BZ43" s="158"/>
      <s:c r="CA43" s="159">
        <s:f>CA40*$C$46+CB40*$C$47+CC40*$C$48</s:f>
        <s:v>13600</s:v>
      </s:c>
      <s:c r="CB43" s="157"/>
      <s:c r="CC43" s="160"/>
      <s:c r="CD43" s="156">
        <s:f>CD40*$C$46+CE40*$C$47+CF40*$C$48</s:f>
        <s:v>0</s:v>
      </s:c>
      <s:c r="CE43" s="157"/>
      <s:c r="CF43" s="158"/>
      <s:c r="CG43" s="159">
        <s:f>CG40*$C$46+CH40*$C$47+CI40*$C$48</s:f>
        <s:v>0</s:v>
      </s:c>
      <s:c r="CH43" s="157"/>
      <s:c r="CI43" s="160"/>
      <s:c r="CJ43" s="156">
        <s:f>CJ40*$C$46+CK40*$C$47+CL40*$C$48</s:f>
        <s:v>0</s:v>
      </s:c>
      <s:c r="CK43" s="157"/>
      <s:c r="CL43" s="158"/>
      <s:c r="CM43" s="159">
        <s:f>CM40*$C$46+CN40*$C$47+CO40*$C$48</s:f>
        <s:v>0</s:v>
      </s:c>
      <s:c r="CN43" s="157"/>
      <s:c r="CO43" s="160"/>
      <s:c r="CP43" s="156">
        <s:f>CP40*$C$46+CQ40*$C$47+CR40*$C$48</s:f>
        <s:v>0</s:v>
      </s:c>
      <s:c r="CQ43" s="157"/>
      <s:c r="CR43" s="158"/>
      <s:c r="CS43" s="104"/>
      <s:c r="CT43" s="105"/>
      <s:c r="CU43" s="105"/>
      <s:c r="CV43" s="105"/>
      <s:c r="CW43" s="105"/>
      <s:c r="CX43" s="108" t="s">
        <s:v>37</s:v>
      </s:c>
      <s:c r="CY43" s="113">
        <s:f>SUM(D43:CR43)</s:f>
        <s:v>315350</s:v>
      </s:c>
    </s:row>
    <s:row x14ac:dyDescent="0.3" r="44" spans="1:107" ht="21.6" customHeight="1"/>
    <s:row r="45" ht="21.75">
      <s:c r="B45" s="3" t="s">
        <s:v>22</s:v>
      </s:c>
      <s:c r="C45" s="1" t="s">
        <s:v>21</s:v>
      </s:c>
      <s:c r="D45" s="1" t="s">
        <s:v>20</s:v>
      </s:c>
    </s:row>
    <s:row r="46" ht="21.75">
      <s:c r="B46" s="2" t="s">
        <s:v>14</s:v>
      </s:c>
      <s:c r="C46" s="64">
        <s:v>800</s:v>
      </s:c>
      <s:c r="D46" s="65">
        <s:f>C46*1.22</s:f>
        <s:v>976</s:v>
      </s:c>
      <s:c r="CV46" s="170" t="s">
        <s:v>56</s:v>
      </s:c>
      <s:c r="CW46" s="171"/>
      <s:c r="CX46" s="171"/>
      <s:c r="CY46" s="172"/>
    </s:row>
    <s:row r="47" ht="21.75">
      <s:c r="B47" s="2" t="s">
        <s:v>15</s:v>
      </s:c>
      <s:c r="C47" s="64">
        <s:v>1000</s:v>
      </s:c>
      <s:c r="D47" s="65">
        <s:f>C47*1.22</s:f>
        <s:v>1220</s:v>
      </s:c>
      <s:c r="CV47" s="142" t="s">
        <s:v>83</s:v>
      </s:c>
      <s:c r="CW47" s="143" t="s">
        <s:v>65</s:v>
      </s:c>
      <s:c r="CX47" s="144"/>
      <s:c r="CY47" s="145">
        <s:f>CX41/1.22*0.22+(CX37-CX41/1.22*0.22)*0.15</s:f>
        <s:v>0</s:v>
      </s:c>
    </s:row>
    <s:row r="48" ht="21.75">
      <s:c r="B48" s="2" t="s">
        <s:v>16</s:v>
      </s:c>
      <s:c r="C48" s="64">
        <s:v>850</s:v>
      </s:c>
      <s:c r="D48" s="65">
        <s:f>C48*1.22</s:f>
        <s:v>1037</s:v>
      </s:c>
      <s:c r="CV48" s="192" t="s">
        <s:v>118</s:v>
      </s:c>
      <s:c r="CW48" s="143" t="s">
        <s:v>65</s:v>
      </s:c>
      <s:c r="CX48" s="144"/>
      <s:c r="CY48" s="145">
        <s:f validation_="true">CW37/1.02*0.02</s:f>
        <s:v>3347.05882352941</s:v>
      </s:c>
    </s:row>
    <s:row r="49">
      <s:c r="CV49" s="142" t="s">
        <s:v>68</s:v>
      </s:c>
      <s:c r="CW49" s="143" t="s">
        <s:v>65</s:v>
      </s:c>
      <s:c r="CX49" s="144"/>
      <s:c r="CY49" s="145">
        <s:f validation_="true">(CW37-CY48)*0.15</s:f>
        <s:v>25102.9411764705</s:v>
      </s:c>
    </s:row>
    <s:row r="50" ht="21.75">
      <s:c r="CV50" s="130" t="s">
        <s:v>57</s:v>
      </s:c>
      <s:c r="CW50" s="141" t="s">
        <s:v>66</s:v>
      </s:c>
      <s:c r="CX50" s="125"/>
      <s:c r="CY50" s="131"/>
    </s:row>
    <s:row r="51" ht="21.75">
      <s:c r="CV51" s="130" t="s">
        <s:v>58</s:v>
      </s:c>
      <s:c r="CW51" s="141" t="s">
        <s:v>65</s:v>
      </s:c>
      <s:c r="CX51" s="125"/>
      <s:c r="CY51" s="131"/>
    </s:row>
    <s:row r="52" ht="21.75">
      <s:c r="C52" s="64" t="s">
        <s:v>19</s:v>
      </s:c>
      <s:c r="CV52" s="130" t="s">
        <s:v>59</s:v>
      </s:c>
      <s:c r="CW52" s="141" t="s">
        <s:v>65</s:v>
      </s:c>
      <s:c r="CX52" s="125"/>
      <s:c r="CY52" s="132"/>
    </s:row>
    <s:row r="53" ht="19.5">
      <s:c r="C53" s="64" t="s">
        <s:v>17</s:v>
      </s:c>
      <s:c r="CV53" s="130" t="s">
        <s:v>62</s:v>
      </s:c>
      <s:c r="CW53" s="141"/>
      <s:c r="CX53" s="125"/>
      <s:c r="CY53" s="132"/>
    </s:row>
    <s:row r="54" ht="21.75">
      <s:c r="C54" s="64" t="s">
        <s:v>18</s:v>
      </s:c>
      <s:c r="CV54" s="130"/>
      <s:c r="CW54" s="141"/>
      <s:c r="CX54" s="125"/>
      <s:c r="CY54" s="132"/>
    </s:row>
    <s:row r="55" ht="21.75">
      <s:c r="C55" s="64" t="s">
        <s:v>28</s:v>
      </s:c>
      <s:c r="CV55" s="134" t="s">
        <s:v>61</s:v>
      </s:c>
      <s:c r="CW55" s="141"/>
      <s:c r="CX55" s="135"/>
      <s:c r="CY55" s="136">
        <s:f>CV37-SUM(CY47:CY54)</s:f>
        <s:v>457600</s:v>
      </s:c>
    </s:row>
    <s:row r="56" ht="21.75">
      <s:c r="CV56" s="129" t="s">
        <s:v>64</s:v>
      </s:c>
      <s:c r="CW56" s="137"/>
      <s:c r="CX56" s="137"/>
      <s:c r="CY56" s="139">
        <s:f>CY37-SUMIF(CW47:CW54,"наличные",CY47:CY54)</s:f>
        <s:v>315350</s:v>
      </s:c>
    </s:row>
    <s:row r="57">
      <s:c r="CV57" s="133" t="s">
        <s:v>63</s:v>
      </s:c>
      <s:c r="CW57" s="138"/>
      <s:c r="CX57" s="138"/>
      <s:c r="CY57" s="140">
        <s:f>CW37+CX37-SUMIF(CW47:CW54,"безнал",CY47:CY54)</s:f>
        <s:v>142250</s:v>
      </s:c>
    </s:row>
  </s:sheetData>
  <s:mergeCells count="127">
    <s:mergeCell ref="CV46:CY46"/>
    <s:mergeCell ref="CG2:CI2"/>
    <s:mergeCell ref="CJ2:CL2"/>
    <s:mergeCell ref="CM2:CO2"/>
    <s:mergeCell ref="CP2:CR2"/>
    <s:mergeCell ref="BO2:BQ2"/>
    <s:mergeCell ref="BR2:BT2"/>
    <s:mergeCell ref="BU2:BW2"/>
    <s:mergeCell ref="BX2:BZ2"/>
    <s:mergeCell ref="CA2:CC2"/>
    <s:mergeCell ref="CD2:CF2"/>
    <s:mergeCell ref="CV36:CY36"/>
    <s:mergeCell ref="BX41:BZ41"/>
    <s:mergeCell ref="CA42:CC42"/>
    <s:mergeCell ref="CD42:CF42"/>
    <s:mergeCell ref="CM43:CO43"/>
    <s:mergeCell ref="CP43:CR43"/>
    <s:mergeCell ref="BR43:BT43"/>
    <s:mergeCell ref="BU43:BW43"/>
    <s:mergeCell ref="BX43:BZ43"/>
    <s:mergeCell ref="CA43:CC43"/>
    <s:mergeCell ref="CD43:CF43"/>
    <s:mergeCell ref="CG43:CI43"/>
    <s:mergeCell ref="CJ43:CL43"/>
    <s:mergeCell ref="BL2:BN2"/>
    <s:mergeCell ref="AE2:AG2"/>
    <s:mergeCell ref="AH2:AJ2"/>
    <s:mergeCell ref="AK2:AM2"/>
    <s:mergeCell ref="AN2:AP2"/>
    <s:mergeCell ref="AQ2:AS2"/>
    <s:mergeCell ref="AT2:AV2"/>
    <s:mergeCell ref="AW2:AY2"/>
    <s:mergeCell ref="AZ2:BB2"/>
    <s:mergeCell ref="BC2:BE2"/>
    <s:mergeCell ref="BF2:BH2"/>
    <s:mergeCell ref="BI2:BK2"/>
    <s:mergeCell ref="AY1:BH1"/>
    <s:mergeCell ref="D2:F2"/>
    <s:mergeCell ref="G2:I2"/>
    <s:mergeCell ref="J2:L2"/>
    <s:mergeCell ref="M2:O2"/>
    <s:mergeCell ref="P2:R2"/>
    <s:mergeCell ref="S2:U2"/>
    <s:mergeCell ref="AB2:AD2"/>
    <s:mergeCell ref="Y2:AA2"/>
    <s:mergeCell ref="V2:X2"/>
    <s:mergeCell ref="J41:L41"/>
    <s:mergeCell ref="J42:L42"/>
    <s:mergeCell ref="J43:L43"/>
    <s:mergeCell ref="M41:O41"/>
    <s:mergeCell ref="M42:O42"/>
    <s:mergeCell ref="M43:O43"/>
    <s:mergeCell ref="P41:R41"/>
    <s:mergeCell ref="S41:U41"/>
    <s:mergeCell ref="V41:X41"/>
    <s:mergeCell ref="Y41:AA41"/>
    <s:mergeCell ref="AB41:AD41"/>
    <s:mergeCell ref="AE41:AG41"/>
    <s:mergeCell ref="AH41:AJ41"/>
    <s:mergeCell ref="AK41:AM41"/>
    <s:mergeCell ref="AN41:AP41"/>
    <s:mergeCell ref="CM41:CO41"/>
    <s:mergeCell ref="CP41:CR41"/>
    <s:mergeCell ref="P42:R42"/>
    <s:mergeCell ref="S42:U42"/>
    <s:mergeCell ref="V42:X42"/>
    <s:mergeCell ref="Y42:AA42"/>
    <s:mergeCell ref="AB42:AD42"/>
    <s:mergeCell ref="AE42:AG42"/>
    <s:mergeCell ref="CA41:CC41"/>
    <s:mergeCell ref="CD41:CF41"/>
    <s:mergeCell ref="CG41:CI41"/>
    <s:mergeCell ref="BF41:BH41"/>
    <s:mergeCell ref="BI41:BK41"/>
    <s:mergeCell ref="BL41:BN41"/>
    <s:mergeCell ref="BO41:BQ41"/>
    <s:mergeCell ref="CM42:CO42"/>
    <s:mergeCell ref="CP42:CR42"/>
    <s:mergeCell ref="BU41:BW41"/>
    <s:mergeCell ref="AN43:AP43"/>
    <s:mergeCell ref="AH42:AJ42"/>
    <s:mergeCell ref="AK42:AM42"/>
    <s:mergeCell ref="AN42:AP42"/>
    <s:mergeCell ref="AQ42:AS42"/>
    <s:mergeCell ref="AT42:AV42"/>
    <s:mergeCell ref="AW42:AY42"/>
    <s:mergeCell ref="AZ42:BB42"/>
    <s:mergeCell ref="BO43:BQ43"/>
    <s:mergeCell ref="AZ43:BB43"/>
    <s:mergeCell ref="BC43:BE43"/>
    <s:mergeCell ref="BF43:BH43"/>
    <s:mergeCell ref="BI43:BK43"/>
    <s:mergeCell ref="BL43:BN43"/>
    <s:mergeCell ref="D41:F41"/>
    <s:mergeCell ref="G41:I41"/>
    <s:mergeCell ref="D42:F42"/>
    <s:mergeCell ref="G42:I42"/>
    <s:mergeCell ref="D43:F43"/>
    <s:mergeCell ref="G43:I43"/>
    <s:mergeCell ref="AQ43:AS43"/>
    <s:mergeCell ref="AT43:AV43"/>
    <s:mergeCell ref="AW43:AY43"/>
    <s:mergeCell ref="BC42:BE42"/>
    <s:mergeCell ref="BF42:BH42"/>
    <s:mergeCell ref="BI42:BK42"/>
    <s:mergeCell ref="BL42:BN42"/>
    <s:mergeCell ref="P43:R43"/>
    <s:mergeCell ref="S43:U43"/>
    <s:mergeCell ref="V43:X43"/>
    <s:mergeCell ref="Y43:AA43"/>
    <s:mergeCell ref="AB43:AD43"/>
    <s:mergeCell ref="AE43:AG43"/>
    <s:mergeCell ref="AH43:AJ43"/>
    <s:mergeCell ref="AK43:AM43"/>
    <s:mergeCell ref="CG42:CI42"/>
    <s:mergeCell ref="CJ42:CL42"/>
    <s:mergeCell ref="CJ41:CL41"/>
    <s:mergeCell ref="BR41:BT41"/>
    <s:mergeCell ref="AQ41:AS41"/>
    <s:mergeCell ref="AT41:AV41"/>
    <s:mergeCell ref="AW41:AY41"/>
    <s:mergeCell ref="AZ41:BB41"/>
    <s:mergeCell ref="BC41:BE41"/>
    <s:mergeCell ref="BR42:BT42"/>
    <s:mergeCell ref="BU42:BW42"/>
    <s:mergeCell ref="BX42:BZ42"/>
    <s:mergeCell ref="BO42:BQ42"/>
  </s:mergeCells>
  <s:phoneticPr fontId="16" type="noConversion"/>
  <s:conditionalFormatting sqref="B4:C35">
    <s:cfRule type="containsBlanks" dxfId="87" priority="7">
      <s:formula>LEN(TRIM(B4))=0</s:formula>
    </s:cfRule>
  </s:conditionalFormatting>
  <s:conditionalFormatting sqref="B36:C36">
    <s:cfRule type="expression" dxfId="86" priority="24">
      <s:formula>$CZ36=$DE$4</s:formula>
    </s:cfRule>
    <s:cfRule type="expression" dxfId="85" priority="25">
      <s:formula>$CZ36=$DE$5</s:formula>
    </s:cfRule>
    <s:cfRule type="expression" dxfId="84" priority="26">
      <s:formula>$CZ36=$DE$6</s:formula>
    </s:cfRule>
  </s:conditionalFormatting>
  <s:conditionalFormatting sqref="D2 G2 J2 M2 P2 S2 V2 Y2 AB2 AE2 AH2 AK2 AN2 AQ2 AT2 AW2 AZ2 BC2 BF2 BI2 BL2 BO2 BR2 BU2 BX2 CA2 CD2 CG2 CJ2 CM2 CP2">
    <s:cfRule type="timePeriod" dxfId="83" priority="12" timePeriod="today">
      <s:formula>FLOOR(D2,1)=TODAY()</s:formula>
    </s:cfRule>
  </s:conditionalFormatting>
  <s:conditionalFormatting sqref="F4:CR35">
    <s:cfRule type="cellIs" dxfId="82" priority="3" operator="equal">
      <s:formula>0</s:formula>
    </s:cfRule>
    <s:cfRule type="containsBlanks" dxfId="81" priority="4">
      <s:formula>LEN(TRIM(F4))=0</s:formula>
    </s:cfRule>
  </s:conditionalFormatting>
  <s:conditionalFormatting sqref="H4:H35">
    <s:cfRule type="expression" dxfId="80" priority="74">
      <s:formula>AND(COLUMN()&gt;COLUMN($F$4),C4&lt;&gt;"",H4&gt;C4)</s:formula>
    </s:cfRule>
    <s:cfRule type="expression" dxfId="79" priority="76">
      <s:formula>AND(COLUMN()&gt;COLUMN($F$4),C4&lt;&gt;"",H4&lt;C4)</s:formula>
    </s:cfRule>
  </s:conditionalFormatting>
  <s:conditionalFormatting sqref="I3 L3 O3 R3 U3 X3 AA3 AD3 AG3 AJ3 AM3 AP3 AS3 AV3 AY3 BB3 BE3 BH3 BK3 BN3 BQ3 BT3 BW3 BZ3 CC3 CF3 CI3 CL3 CO3 CR3">
    <s:cfRule type="timePeriod" dxfId="78" priority="2" timePeriod="today">
      <s:formula>FLOOR(I3,1)=TODAY()</s:formula>
    </s:cfRule>
  </s:conditionalFormatting>
  <s:conditionalFormatting sqref="I36 L36 O36 R36 U36 X36 AA36 AD36 AG36 AJ36 AM36 AP36 AS36 AV36 AY36 BB36 BE36 BH36 BK36 BN36 BQ36 BT36 BW36 BZ36 CC36 CF36 CI36 CL36 CO36 CR36">
    <s:cfRule type="timePeriod" dxfId="77" priority="1" timePeriod="today">
      <s:formula>FLOOR(I36,1)=TODAY()</s:formula>
    </s:cfRule>
  </s:conditionalFormatting>
  <s:conditionalFormatting sqref="I4:J35">
    <s:cfRule type="expression" dxfId="76" priority="90">
      <s:formula>AND(COLUMN()&gt;COLUMN($F$4),C4&lt;&gt;"",I4&gt;C4)</s:formula>
    </s:cfRule>
    <s:cfRule type="expression" dxfId="75" priority="91">
      <s:formula>AND(COLUMN()&gt;COLUMN($F$4),C4&lt;&gt;"",I4&lt;C4)</s:formula>
    </s:cfRule>
  </s:conditionalFormatting>
  <s:conditionalFormatting sqref="K4:K35">
    <s:cfRule type="expression" dxfId="74" priority="102">
      <s:formula>AND(COLUMN()&gt;COLUMN($F$4),D4&lt;&gt;"",K4&gt;D4)</s:formula>
    </s:cfRule>
    <s:cfRule type="expression" dxfId="73" priority="104">
      <s:formula>AND(COLUMN()&gt;COLUMN($F$4),D4&lt;&gt;"",K4&lt;D4)</s:formula>
    </s:cfRule>
  </s:conditionalFormatting>
  <s:conditionalFormatting sqref="L4:M35">
    <s:cfRule type="expression" dxfId="72" priority="118">
      <s:formula>AND(COLUMN()&gt;COLUMN($F$4),D4&lt;&gt;"",L4&gt;D4)</s:formula>
    </s:cfRule>
    <s:cfRule type="expression" dxfId="71" priority="119">
      <s:formula>AND(COLUMN()&gt;COLUMN($F$4),D4&lt;&gt;"",L4&lt;D4)</s:formula>
    </s:cfRule>
  </s:conditionalFormatting>
  <s:conditionalFormatting sqref="N4:N35">
    <s:cfRule type="expression" dxfId="70" priority="130">
      <s:formula>AND(COLUMN()&gt;COLUMN($F$4),E4&lt;&gt;"",N4&gt;E4)</s:formula>
    </s:cfRule>
    <s:cfRule type="expression" dxfId="69" priority="132">
      <s:formula>AND(COLUMN()&gt;COLUMN($F$4),E4&lt;&gt;"",N4&lt;E4)</s:formula>
    </s:cfRule>
  </s:conditionalFormatting>
  <s:conditionalFormatting sqref="O4:P35">
    <s:cfRule type="expression" dxfId="68" priority="146">
      <s:formula>AND(COLUMN()&gt;COLUMN($F$4),E4&lt;&gt;"",O4&gt;E4)</s:formula>
    </s:cfRule>
    <s:cfRule type="expression" dxfId="67" priority="147">
      <s:formula>AND(COLUMN()&gt;COLUMN($F$4),E4&lt;&gt;"",O4&lt;E4)</s:formula>
    </s:cfRule>
  </s:conditionalFormatting>
  <s:conditionalFormatting sqref="Q4:Q35">
    <s:cfRule type="expression" dxfId="66" priority="158">
      <s:formula>AND(COLUMN()&gt;COLUMN($F$4),F4&lt;&gt;"",Q4&gt;F4)</s:formula>
    </s:cfRule>
    <s:cfRule type="expression" dxfId="65" priority="160">
      <s:formula>AND(COLUMN()&gt;COLUMN($F$4),F4&lt;&gt;"",Q4&lt;F4)</s:formula>
    </s:cfRule>
  </s:conditionalFormatting>
  <s:conditionalFormatting sqref="R4:S35">
    <s:cfRule type="expression" dxfId="64" priority="174">
      <s:formula>AND(COLUMN()&gt;COLUMN($F$4),F4&lt;&gt;"",R4&gt;F4)</s:formula>
    </s:cfRule>
    <s:cfRule type="expression" dxfId="63" priority="175">
      <s:formula>AND(COLUMN()&gt;COLUMN($F$4),F4&lt;&gt;"",R4&lt;F4)</s:formula>
    </s:cfRule>
  </s:conditionalFormatting>
  <s:conditionalFormatting sqref="T4:T35">
    <s:cfRule type="expression" dxfId="62" priority="186">
      <s:formula>AND(COLUMN()&gt;COLUMN($F$4),G4&lt;&gt;"",T4&gt;G4)</s:formula>
    </s:cfRule>
    <s:cfRule type="expression" dxfId="61" priority="188">
      <s:formula>AND(COLUMN()&gt;COLUMN($F$4),G4&lt;&gt;"",T4&lt;G4)</s:formula>
    </s:cfRule>
  </s:conditionalFormatting>
  <s:conditionalFormatting sqref="U4:V35">
    <s:cfRule type="expression" dxfId="60" priority="202">
      <s:formula>AND(COLUMN()&gt;COLUMN($F$4),G4&lt;&gt;"",U4&gt;G4)</s:formula>
    </s:cfRule>
    <s:cfRule type="expression" dxfId="59" priority="203">
      <s:formula>AND(COLUMN()&gt;COLUMN($F$4),G4&lt;&gt;"",U4&lt;G4)</s:formula>
    </s:cfRule>
  </s:conditionalFormatting>
  <s:conditionalFormatting sqref="W4:W35">
    <s:cfRule type="expression" dxfId="58" priority="214">
      <s:formula>AND(COLUMN()&gt;COLUMN($F$4),H4&lt;&gt;"",W4&gt;H4)</s:formula>
    </s:cfRule>
    <s:cfRule type="expression" dxfId="57" priority="216">
      <s:formula>AND(COLUMN()&gt;COLUMN($F$4),H4&lt;&gt;"",W4&lt;H4)</s:formula>
    </s:cfRule>
  </s:conditionalFormatting>
  <s:conditionalFormatting sqref="X4:Y35">
    <s:cfRule type="expression" dxfId="56" priority="230">
      <s:formula>AND(COLUMN()&gt;COLUMN($F$4),H4&lt;&gt;"",X4&gt;H4)</s:formula>
    </s:cfRule>
    <s:cfRule type="expression" dxfId="55" priority="231">
      <s:formula>AND(COLUMN()&gt;COLUMN($F$4),H4&lt;&gt;"",X4&lt;H4)</s:formula>
    </s:cfRule>
  </s:conditionalFormatting>
  <s:conditionalFormatting sqref="Z4:Z35">
    <s:cfRule type="expression" dxfId="54" priority="242">
      <s:formula>AND(COLUMN()&gt;COLUMN($F$4),I4&lt;&gt;"",Z4&gt;I4)</s:formula>
    </s:cfRule>
    <s:cfRule type="expression" dxfId="53" priority="244">
      <s:formula>AND(COLUMN()&gt;COLUMN($F$4),I4&lt;&gt;"",Z4&lt;I4)</s:formula>
    </s:cfRule>
  </s:conditionalFormatting>
  <s:conditionalFormatting sqref="AA4:AB35">
    <s:cfRule type="expression" dxfId="52" priority="258">
      <s:formula>AND(COLUMN()&gt;COLUMN($F$4),I4&lt;&gt;"",AA4&gt;I4)</s:formula>
    </s:cfRule>
    <s:cfRule type="expression" dxfId="51" priority="259">
      <s:formula>AND(COLUMN()&gt;COLUMN($F$4),I4&lt;&gt;"",AA4&lt;I4)</s:formula>
    </s:cfRule>
  </s:conditionalFormatting>
  <s:conditionalFormatting sqref="AC4:AC35">
    <s:cfRule type="expression" dxfId="50" priority="270">
      <s:formula>AND(COLUMN()&gt;COLUMN($F$4),J4&lt;&gt;"",AC4&gt;J4)</s:formula>
    </s:cfRule>
    <s:cfRule type="expression" dxfId="49" priority="272">
      <s:formula>AND(COLUMN()&gt;COLUMN($F$4),J4&lt;&gt;"",AC4&lt;J4)</s:formula>
    </s:cfRule>
  </s:conditionalFormatting>
  <s:conditionalFormatting sqref="AD4:AF35">
    <s:cfRule type="expression" dxfId="48" priority="286">
      <s:formula>AND(COLUMN()&gt;COLUMN($F$4),J4&lt;&gt;"",AD4&gt;J4)</s:formula>
    </s:cfRule>
    <s:cfRule type="expression" dxfId="47" priority="287">
      <s:formula>AND(COLUMN()&gt;COLUMN($F$4),J4&lt;&gt;"",AD4&lt;J4)</s:formula>
    </s:cfRule>
  </s:conditionalFormatting>
  <s:conditionalFormatting sqref="AG4:AI35">
    <s:cfRule type="expression" dxfId="46" priority="298">
      <s:formula>AND(COLUMN()&gt;COLUMN($F$4),K4&lt;&gt;"",AG4&gt;K4)</s:formula>
    </s:cfRule>
    <s:cfRule type="expression" dxfId="45" priority="300">
      <s:formula>AND(COLUMN()&gt;COLUMN($F$4),K4&lt;&gt;"",AG4&lt;K4)</s:formula>
    </s:cfRule>
  </s:conditionalFormatting>
  <s:conditionalFormatting sqref="AJ4:AL35">
    <s:cfRule type="expression" dxfId="44" priority="311">
      <s:formula>AND(COLUMN()&gt;COLUMN($F$4),L4&lt;&gt;"",AJ4&gt;L4)</s:formula>
    </s:cfRule>
    <s:cfRule type="expression" dxfId="43" priority="313">
      <s:formula>AND(COLUMN()&gt;COLUMN($F$4),L4&lt;&gt;"",AJ4&lt;L4)</s:formula>
    </s:cfRule>
  </s:conditionalFormatting>
  <s:conditionalFormatting sqref="AM4:AO35">
    <s:cfRule type="expression" dxfId="42" priority="324">
      <s:formula>AND(COLUMN()&gt;COLUMN($F$4),M4&lt;&gt;"",AM4&gt;M4)</s:formula>
    </s:cfRule>
    <s:cfRule type="expression" dxfId="41" priority="326">
      <s:formula>AND(COLUMN()&gt;COLUMN($F$4),M4&lt;&gt;"",AM4&lt;M4)</s:formula>
    </s:cfRule>
  </s:conditionalFormatting>
  <s:conditionalFormatting sqref="AP4:AR35">
    <s:cfRule type="expression" dxfId="40" priority="337">
      <s:formula>AND(COLUMN()&gt;COLUMN($F$4),N4&lt;&gt;"",AP4&gt;N4)</s:formula>
    </s:cfRule>
    <s:cfRule type="expression" dxfId="39" priority="339">
      <s:formula>AND(COLUMN()&gt;COLUMN($F$4),N4&lt;&gt;"",AP4&lt;N4)</s:formula>
    </s:cfRule>
  </s:conditionalFormatting>
  <s:conditionalFormatting sqref="AS4:AU35">
    <s:cfRule type="expression" dxfId="38" priority="350">
      <s:formula>AND(COLUMN()&gt;COLUMN($F$4),O4&lt;&gt;"",AS4&gt;O4)</s:formula>
    </s:cfRule>
    <s:cfRule type="expression" dxfId="37" priority="352">
      <s:formula>AND(COLUMN()&gt;COLUMN($F$4),O4&lt;&gt;"",AS4&lt;O4)</s:formula>
    </s:cfRule>
  </s:conditionalFormatting>
  <s:conditionalFormatting sqref="AV4:AX35">
    <s:cfRule type="expression" dxfId="36" priority="363">
      <s:formula>AND(COLUMN()&gt;COLUMN($F$4),P4&lt;&gt;"",AV4&gt;P4)</s:formula>
    </s:cfRule>
    <s:cfRule type="expression" dxfId="35" priority="365">
      <s:formula>AND(COLUMN()&gt;COLUMN($F$4),P4&lt;&gt;"",AV4&lt;P4)</s:formula>
    </s:cfRule>
  </s:conditionalFormatting>
  <s:conditionalFormatting sqref="AY4:BA35">
    <s:cfRule type="expression" dxfId="34" priority="376">
      <s:formula>AND(COLUMN()&gt;COLUMN($F$4),Q4&lt;&gt;"",AY4&gt;Q4)</s:formula>
    </s:cfRule>
    <s:cfRule type="expression" dxfId="33" priority="378">
      <s:formula>AND(COLUMN()&gt;COLUMN($F$4),Q4&lt;&gt;"",AY4&lt;Q4)</s:formula>
    </s:cfRule>
  </s:conditionalFormatting>
  <s:conditionalFormatting sqref="BB4:BD35">
    <s:cfRule type="expression" dxfId="32" priority="389">
      <s:formula>AND(COLUMN()&gt;COLUMN($F$4),R4&lt;&gt;"",BB4&gt;R4)</s:formula>
    </s:cfRule>
    <s:cfRule type="expression" dxfId="31" priority="391">
      <s:formula>AND(COLUMN()&gt;COLUMN($F$4),R4&lt;&gt;"",BB4&lt;R4)</s:formula>
    </s:cfRule>
  </s:conditionalFormatting>
  <s:conditionalFormatting sqref="BE4:BG35">
    <s:cfRule type="expression" dxfId="30" priority="402">
      <s:formula>AND(COLUMN()&gt;COLUMN($F$4),S4&lt;&gt;"",BE4&gt;S4)</s:formula>
    </s:cfRule>
    <s:cfRule type="expression" dxfId="29" priority="404">
      <s:formula>AND(COLUMN()&gt;COLUMN($F$4),S4&lt;&gt;"",BE4&lt;S4)</s:formula>
    </s:cfRule>
  </s:conditionalFormatting>
  <s:conditionalFormatting sqref="BH4:BJ35">
    <s:cfRule type="expression" dxfId="28" priority="415">
      <s:formula>AND(COLUMN()&gt;COLUMN($F$4),T4&lt;&gt;"",BH4&gt;T4)</s:formula>
    </s:cfRule>
    <s:cfRule type="expression" dxfId="27" priority="417">
      <s:formula>AND(COLUMN()&gt;COLUMN($F$4),T4&lt;&gt;"",BH4&lt;T4)</s:formula>
    </s:cfRule>
  </s:conditionalFormatting>
  <s:conditionalFormatting sqref="BK4:BM35">
    <s:cfRule type="expression" dxfId="26" priority="428">
      <s:formula>AND(COLUMN()&gt;COLUMN($F$4),U4&lt;&gt;"",BK4&gt;U4)</s:formula>
    </s:cfRule>
    <s:cfRule type="expression" dxfId="25" priority="430">
      <s:formula>AND(COLUMN()&gt;COLUMN($F$4),U4&lt;&gt;"",BK4&lt;U4)</s:formula>
    </s:cfRule>
  </s:conditionalFormatting>
  <s:conditionalFormatting sqref="BN4:BP35">
    <s:cfRule type="expression" dxfId="24" priority="441">
      <s:formula>AND(COLUMN()&gt;COLUMN($F$4),V4&lt;&gt;"",BN4&gt;V4)</s:formula>
    </s:cfRule>
    <s:cfRule type="expression" dxfId="23" priority="443">
      <s:formula>AND(COLUMN()&gt;COLUMN($F$4),V4&lt;&gt;"",BN4&lt;V4)</s:formula>
    </s:cfRule>
  </s:conditionalFormatting>
  <s:conditionalFormatting sqref="BQ4:BS35">
    <s:cfRule type="expression" dxfId="22" priority="454">
      <s:formula>AND(COLUMN()&gt;COLUMN($F$4),W4&lt;&gt;"",BQ4&gt;W4)</s:formula>
    </s:cfRule>
    <s:cfRule type="expression" dxfId="21" priority="456">
      <s:formula>AND(COLUMN()&gt;COLUMN($F$4),W4&lt;&gt;"",BQ4&lt;W4)</s:formula>
    </s:cfRule>
  </s:conditionalFormatting>
  <s:conditionalFormatting sqref="BT4:BV35">
    <s:cfRule type="expression" dxfId="20" priority="467">
      <s:formula>AND(COLUMN()&gt;COLUMN($F$4),X4&lt;&gt;"",BT4&gt;X4)</s:formula>
    </s:cfRule>
    <s:cfRule type="expression" dxfId="19" priority="469">
      <s:formula>AND(COLUMN()&gt;COLUMN($F$4),X4&lt;&gt;"",BT4&lt;X4)</s:formula>
    </s:cfRule>
  </s:conditionalFormatting>
  <s:conditionalFormatting sqref="BW4:BY35">
    <s:cfRule type="expression" dxfId="18" priority="480">
      <s:formula>AND(COLUMN()&gt;COLUMN($F$4),Y4&lt;&gt;"",BW4&gt;Y4)</s:formula>
    </s:cfRule>
    <s:cfRule type="expression" dxfId="17" priority="482">
      <s:formula>AND(COLUMN()&gt;COLUMN($F$4),Y4&lt;&gt;"",BW4&lt;Y4)</s:formula>
    </s:cfRule>
  </s:conditionalFormatting>
  <s:conditionalFormatting sqref="BZ4:CB35">
    <s:cfRule type="expression" dxfId="16" priority="493">
      <s:formula>AND(COLUMN()&gt;COLUMN($F$4),Z4&lt;&gt;"",BZ4&gt;Z4)</s:formula>
    </s:cfRule>
    <s:cfRule type="expression" dxfId="15" priority="495">
      <s:formula>AND(COLUMN()&gt;COLUMN($F$4),Z4&lt;&gt;"",BZ4&lt;Z4)</s:formula>
    </s:cfRule>
  </s:conditionalFormatting>
  <s:conditionalFormatting sqref="CC4:CE35">
    <s:cfRule type="expression" dxfId="14" priority="506">
      <s:formula>AND(COLUMN()&gt;COLUMN($F$4),AA4&lt;&gt;"",CC4&gt;AA4)</s:formula>
    </s:cfRule>
    <s:cfRule type="expression" dxfId="13" priority="508">
      <s:formula>AND(COLUMN()&gt;COLUMN($F$4),AA4&lt;&gt;"",CC4&lt;AA4)</s:formula>
    </s:cfRule>
  </s:conditionalFormatting>
  <s:conditionalFormatting sqref="CF4:CH35">
    <s:cfRule type="expression" dxfId="12" priority="519">
      <s:formula>AND(COLUMN()&gt;COLUMN($F$4),AB4&lt;&gt;"",CF4&gt;AB4)</s:formula>
    </s:cfRule>
    <s:cfRule type="expression" dxfId="11" priority="521">
      <s:formula>AND(COLUMN()&gt;COLUMN($F$4),AB4&lt;&gt;"",CF4&lt;AB4)</s:formula>
    </s:cfRule>
  </s:conditionalFormatting>
  <s:conditionalFormatting sqref="CI4:CK35">
    <s:cfRule type="expression" dxfId="10" priority="532">
      <s:formula>AND(COLUMN()&gt;COLUMN($F$4),AC4&lt;&gt;"",CI4&gt;AC4)</s:formula>
    </s:cfRule>
    <s:cfRule type="expression" dxfId="9" priority="534">
      <s:formula>AND(COLUMN()&gt;COLUMN($F$4),AC4&lt;&gt;"",CI4&lt;AC4)</s:formula>
    </s:cfRule>
  </s:conditionalFormatting>
  <s:conditionalFormatting sqref="CL4:CN35">
    <s:cfRule type="expression" dxfId="8" priority="545">
      <s:formula>AND(COLUMN()&gt;COLUMN($F$4),AD4&lt;&gt;"",CL4&gt;AD4)</s:formula>
    </s:cfRule>
    <s:cfRule type="expression" dxfId="7" priority="547">
      <s:formula>AND(COLUMN()&gt;COLUMN($F$4),AD4&lt;&gt;"",CL4&lt;AD4)</s:formula>
    </s:cfRule>
  </s:conditionalFormatting>
  <s:conditionalFormatting sqref="CO4:CQ35">
    <s:cfRule type="expression" dxfId="6" priority="558">
      <s:formula>AND(COLUMN()&gt;COLUMN($F$4),AE4&lt;&gt;"",CO4&gt;AE4)</s:formula>
    </s:cfRule>
    <s:cfRule type="expression" dxfId="5" priority="560">
      <s:formula>AND(COLUMN()&gt;COLUMN($F$4),AE4&lt;&gt;"",CO4&lt;AE4)</s:formula>
    </s:cfRule>
  </s:conditionalFormatting>
  <s:conditionalFormatting sqref="CR4:CR35">
    <s:cfRule type="expression" dxfId="4" priority="571">
      <s:formula>AND(COLUMN()&gt;COLUMN($F$4),AF4&lt;&gt;"",CR4&gt;AF4)</s:formula>
    </s:cfRule>
    <s:cfRule type="expression" dxfId="3" priority="573">
      <s:formula>AND(COLUMN()&gt;COLUMN($F$4),AF4&lt;&gt;"",CR4&lt;AF4)</s:formula>
    </s:cfRule>
  </s:conditionalFormatting>
  <s:dataValidations disablePrompts="1" count="2">
    <s:dataValidation type="list" allowBlank="1" showInputMessage="1" showErrorMessage="1" sqref="C4:C35" vyd:viewType="arrow" mc:Ignorable="vyd">
      <s:formula1>'Февраль 26'!C53:C55</s:formula1>
    </s:dataValidation>
    <s:dataValidation type="list" allowBlank="1" showInputMessage="1" showErrorMessage="1" sqref="CW47:CW54" vyd:viewType="arrow" mc:Ignorable="vyd">
      <s:formula1>"безнал,наличные"</s:formula1>
    </s:dataValidation>
  </s:dataValidations>
  <s:pageMargins left="0.7" right="0.7" top="0.75" bottom="0.75" header="0.3" footer="0.3"/>
  <s:pageSetup paperSize="9" orientation="portrait" r:id="rId1"/>
  <s:legacyDrawing r:id="rId2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2</vt:i4>
      </vt:variant>
    </vt:vector>
  </ep:HeadingPairs>
  <ep:TitlesOfParts>
    <vt:vector size="2" baseType="lpstr">
      <vt:lpstr>Декабрь 26</vt:lpstr>
      <vt:lpstr>Январь 26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>Mi</dc:creator>
  <cp:lastModifiedBy>Отдел продаж Ольга</cp:lastModifiedBy>
  <dcterms:created xsi:type="dcterms:W3CDTF">2026-01-02T20:57:19Z</dcterms:created>
  <dcterms:modified xsi:type="dcterms:W3CDTF">2026-02-10T13:56:03Z</dcterms:modified>
</cp:coreProperties>
</file>